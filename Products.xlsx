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firstSheet="7" activeTab="13"/>
  </bookViews>
  <sheets>
    <sheet name="ProductsDetail" sheetId="1" r:id="rId1"/>
    <sheet name="Sheet2" sheetId="2" r:id="rId2"/>
    <sheet name="ProductsPurchase" sheetId="3" r:id="rId3"/>
    <sheet name="Weather" sheetId="4" r:id="rId4"/>
    <sheet name="ProductPurchaseOnWeather" sheetId="5" r:id="rId5"/>
    <sheet name="UserSimilarity" sheetId="6" r:id="rId6"/>
    <sheet name="ProductUseLevel" sheetId="7" r:id="rId7"/>
    <sheet name="ProductQuantity" sheetId="8" r:id="rId8"/>
    <sheet name="BuyersShop" sheetId="9" r:id="rId9"/>
    <sheet name="Online" sheetId="10" r:id="rId10"/>
    <sheet name="BuyerShopOnline" sheetId="11" r:id="rId11"/>
    <sheet name="BuyerGenres" sheetId="12" r:id="rId12"/>
    <sheet name="BuyersComment" sheetId="13" r:id="rId13"/>
    <sheet name="SearchKey" sheetId="14" r:id="rId14"/>
  </sheets>
  <calcPr calcId="144525"/>
</workbook>
</file>

<file path=xl/calcChain.xml><?xml version="1.0" encoding="utf-8"?>
<calcChain xmlns="http://schemas.openxmlformats.org/spreadsheetml/2006/main">
  <c r="F23" i="5" l="1"/>
  <c r="F22" i="5"/>
  <c r="F21" i="5"/>
  <c r="F20" i="5"/>
  <c r="F19" i="5"/>
  <c r="F18" i="5"/>
  <c r="F17" i="5"/>
  <c r="F16" i="5"/>
  <c r="F15" i="5"/>
  <c r="F14" i="5"/>
  <c r="F13" i="5"/>
  <c r="F11" i="5"/>
  <c r="F10" i="5"/>
  <c r="F9" i="5"/>
  <c r="F8" i="5"/>
  <c r="F7" i="5"/>
  <c r="F6" i="5"/>
  <c r="F12" i="5"/>
  <c r="F5" i="5"/>
  <c r="F4" i="5"/>
  <c r="F3" i="5"/>
  <c r="F2" i="5"/>
</calcChain>
</file>

<file path=xl/sharedStrings.xml><?xml version="1.0" encoding="utf-8"?>
<sst xmlns="http://schemas.openxmlformats.org/spreadsheetml/2006/main" count="731" uniqueCount="258">
  <si>
    <t>ProductId</t>
  </si>
  <si>
    <t>ProductName</t>
  </si>
  <si>
    <t>Macbook Pro M1 Pro 2021 14 inch</t>
  </si>
  <si>
    <t>Keyboard Apple</t>
  </si>
  <si>
    <t>Mouse Apple</t>
  </si>
  <si>
    <t>Giá đỡ laptop</t>
  </si>
  <si>
    <t>Túi đựng laptop</t>
  </si>
  <si>
    <t>Váy kaki ngắn</t>
  </si>
  <si>
    <t>Áo thun nữ ngắn</t>
  </si>
  <si>
    <t>Đầm dạ hội</t>
  </si>
  <si>
    <t>Túi da gucci</t>
  </si>
  <si>
    <t>Áo khoác nữ</t>
  </si>
  <si>
    <t>Áo len</t>
  </si>
  <si>
    <t>Khăn choàng cổ</t>
  </si>
  <si>
    <t>Găng tay len</t>
  </si>
  <si>
    <t>Quạt tay</t>
  </si>
  <si>
    <t>Bóng đá 2030</t>
  </si>
  <si>
    <t>Hộp banh tennis</t>
  </si>
  <si>
    <t>Điện thoại iPhone 13 Pro Max</t>
  </si>
  <si>
    <t>Ốp điện thoại Apple</t>
  </si>
  <si>
    <t>Tai nghe airpods</t>
  </si>
  <si>
    <t>Điện thoại vivo v21</t>
  </si>
  <si>
    <t>Điện thoại samsung galaxy note 10</t>
  </si>
  <si>
    <t>Giá đỡ laptop logitech</t>
  </si>
  <si>
    <t>Giá đỡ laptop iMax</t>
  </si>
  <si>
    <t>Giá đỡ laptop kèm quạt tản nhiệt</t>
  </si>
  <si>
    <t>Áo đá banh Real Madrid</t>
  </si>
  <si>
    <t>Áo đá banh Chelsea</t>
  </si>
  <si>
    <t>Bóng đá ép</t>
  </si>
  <si>
    <t>Vợt tennis Adidas</t>
  </si>
  <si>
    <t>Vợt tennis Nike</t>
  </si>
  <si>
    <t>Giày đá banh adidas</t>
  </si>
  <si>
    <t>Giày đá banh nike</t>
  </si>
  <si>
    <t>Tai nghe bluetooth JBL</t>
  </si>
  <si>
    <t>Tai nghe bluetooth Sony</t>
  </si>
  <si>
    <t>Macbook Pro 2021 15 inch i5</t>
  </si>
  <si>
    <t>Macbook Air M1 13 inch</t>
  </si>
  <si>
    <t>Keyboard RGB DareU</t>
  </si>
  <si>
    <t>Mouse RGB DareU</t>
  </si>
  <si>
    <t>Tai nghe RGB DareU</t>
  </si>
  <si>
    <t>Tai nghe RGB Logitech</t>
  </si>
  <si>
    <t>Keyboard Logitech</t>
  </si>
  <si>
    <t>Mouse Logitech</t>
  </si>
  <si>
    <t>Áo thể thao Adidas</t>
  </si>
  <si>
    <t>Áo thể thao Nike</t>
  </si>
  <si>
    <t>Máy lạnh inverter Panasonic</t>
  </si>
  <si>
    <t>Quạt để bàn Panasonic</t>
  </si>
  <si>
    <t>Quạt tay v21</t>
  </si>
  <si>
    <t>Máy lạnh inverter Daikin</t>
  </si>
  <si>
    <t>Lò sưởi Panasonic</t>
  </si>
  <si>
    <t>Lò sưởi Daikin</t>
  </si>
  <si>
    <t>Bột cacao Úc</t>
  </si>
  <si>
    <t>Chocolate Hershey</t>
  </si>
  <si>
    <t>Bột cacao QH</t>
  </si>
  <si>
    <t>Bột mì số 8 QH</t>
  </si>
  <si>
    <t>Bột mì đa dụng TH</t>
  </si>
  <si>
    <t>Bột mì số 8 TH</t>
  </si>
  <si>
    <t>Hạt hạnh nhân QH</t>
  </si>
  <si>
    <t>Hạt hạnh nhân TH</t>
  </si>
  <si>
    <t>Bơ Anchor</t>
  </si>
  <si>
    <t>Bơ President</t>
  </si>
  <si>
    <t>Cà chua Úc</t>
  </si>
  <si>
    <t>Cà chua Đà Lạt</t>
  </si>
  <si>
    <t>Dâu Đà lạt</t>
  </si>
  <si>
    <t>Dâu tây</t>
  </si>
  <si>
    <t>Rau xà lách Đà Lạt</t>
  </si>
  <si>
    <t>Rau xà lách</t>
  </si>
  <si>
    <t>Bí đỏ Úc</t>
  </si>
  <si>
    <t>Bí đỏ</t>
  </si>
  <si>
    <t>Bí đỏ Mĩ</t>
  </si>
  <si>
    <t>Nho Mĩ</t>
  </si>
  <si>
    <t>Nho Hàn Quốc</t>
  </si>
  <si>
    <t>Nho Phan Rang</t>
  </si>
  <si>
    <t>Khoai tây Đà Lạt</t>
  </si>
  <si>
    <t>Khoai tây Hà Nội</t>
  </si>
  <si>
    <t>Khoai tây</t>
  </si>
  <si>
    <t>Bắp cải Gia Lai</t>
  </si>
  <si>
    <t>Bắp cải Đà Lạt</t>
  </si>
  <si>
    <t>Bắp cải</t>
  </si>
  <si>
    <t>Thịt bò CP</t>
  </si>
  <si>
    <t>Thịt bò Hàn Quốc</t>
  </si>
  <si>
    <t>Thịt bò Mĩ</t>
  </si>
  <si>
    <t>Thịt heo CP</t>
  </si>
  <si>
    <t>Thịt heo</t>
  </si>
  <si>
    <t>Thịt gà CP</t>
  </si>
  <si>
    <t>Thịt gà Đà Lạt</t>
  </si>
  <si>
    <t>Thịt gà ta</t>
  </si>
  <si>
    <t>Thịt bắp bò Mĩ</t>
  </si>
  <si>
    <t>Cánh gà ta</t>
  </si>
  <si>
    <t>Thịt má heo CP</t>
  </si>
  <si>
    <t>Cá hồi Nhật Bản</t>
  </si>
  <si>
    <t>Cá hồng Nhật Bản</t>
  </si>
  <si>
    <t>Cá cam Nhật Bản</t>
  </si>
  <si>
    <t>Trứng cá hồi</t>
  </si>
  <si>
    <t>Thịt cầu gai</t>
  </si>
  <si>
    <t>Mực tươi</t>
  </si>
  <si>
    <t>Tôm càng xanh</t>
  </si>
  <si>
    <t>Tôm xú</t>
  </si>
  <si>
    <t>Mực 1 nắng</t>
  </si>
  <si>
    <t>Bạch tuộc</t>
  </si>
  <si>
    <t>Sò huyết</t>
  </si>
  <si>
    <t>Sò lông</t>
  </si>
  <si>
    <t>Sò hương</t>
  </si>
  <si>
    <t>CategoryId</t>
  </si>
  <si>
    <t>CategoryName</t>
  </si>
  <si>
    <t>Laptop</t>
  </si>
  <si>
    <t>CategoryRootId</t>
  </si>
  <si>
    <t>CategoryRootID</t>
  </si>
  <si>
    <t>CategoryRootName</t>
  </si>
  <si>
    <t>Thiết bị tin học</t>
  </si>
  <si>
    <t>Điện máy</t>
  </si>
  <si>
    <t>Rau củ</t>
  </si>
  <si>
    <t>Thời trang</t>
  </si>
  <si>
    <t>Thực phẩm tươi sống</t>
  </si>
  <si>
    <t>Thể thao</t>
  </si>
  <si>
    <t>Bàn phím</t>
  </si>
  <si>
    <t>Chuột</t>
  </si>
  <si>
    <t>Tai nghe</t>
  </si>
  <si>
    <t>Điện thoại</t>
  </si>
  <si>
    <t>Phụ kiện điện thoại</t>
  </si>
  <si>
    <t>Linh kiện laptop</t>
  </si>
  <si>
    <t>Máy lạnh</t>
  </si>
  <si>
    <t>Máy sưởi</t>
  </si>
  <si>
    <t>Quạt</t>
  </si>
  <si>
    <t>Váy</t>
  </si>
  <si>
    <t>Áo khoác</t>
  </si>
  <si>
    <t>Áo thun</t>
  </si>
  <si>
    <t>Đầm</t>
  </si>
  <si>
    <t>Túi</t>
  </si>
  <si>
    <t>Phụ kiện thời trang</t>
  </si>
  <si>
    <t>Phụ kiện thể thao</t>
  </si>
  <si>
    <t>Nguyên liệu khô</t>
  </si>
  <si>
    <t>Bột</t>
  </si>
  <si>
    <t>Hạt</t>
  </si>
  <si>
    <t>Thực phẩm đóng gói</t>
  </si>
  <si>
    <t>Thực phẩm trứng sữa</t>
  </si>
  <si>
    <t>Bơ</t>
  </si>
  <si>
    <t>Rau củ trái cây</t>
  </si>
  <si>
    <t>Trái cây</t>
  </si>
  <si>
    <t>Thịt</t>
  </si>
  <si>
    <t>Hải sản</t>
  </si>
  <si>
    <t>Thiết bị di động</t>
  </si>
  <si>
    <t>Phụ kiện laptop</t>
  </si>
  <si>
    <t>Thời trang thể thao</t>
  </si>
  <si>
    <t>BrandID</t>
  </si>
  <si>
    <t>Apple</t>
  </si>
  <si>
    <t>Logitech</t>
  </si>
  <si>
    <t>Gucci</t>
  </si>
  <si>
    <t>Panasonic</t>
  </si>
  <si>
    <t>Adidas</t>
  </si>
  <si>
    <t>Vivo</t>
  </si>
  <si>
    <t>Samsung</t>
  </si>
  <si>
    <t>Nike</t>
  </si>
  <si>
    <t>JBL</t>
  </si>
  <si>
    <t>Sony</t>
  </si>
  <si>
    <t>Tai nghe Samsung</t>
  </si>
  <si>
    <t>DareU</t>
  </si>
  <si>
    <t>Daikin</t>
  </si>
  <si>
    <t>QH</t>
  </si>
  <si>
    <t>TH</t>
  </si>
  <si>
    <t>Anchor</t>
  </si>
  <si>
    <t>President</t>
  </si>
  <si>
    <t>CP</t>
  </si>
  <si>
    <t>Ads</t>
  </si>
  <si>
    <t>UserId</t>
  </si>
  <si>
    <t>Vật dụng tái chế</t>
  </si>
  <si>
    <t>Bình nước uống tái chế</t>
  </si>
  <si>
    <t>Xe đạp thể thao</t>
  </si>
  <si>
    <t>Mũ xe đạp thể thao</t>
  </si>
  <si>
    <t xml:space="preserve">Áo mưa thời trang </t>
  </si>
  <si>
    <t>Áo mưa</t>
  </si>
  <si>
    <t xml:space="preserve">Ô che mưa bằng kính trong suốt </t>
  </si>
  <si>
    <t xml:space="preserve">Áo mưa 2 đầu </t>
  </si>
  <si>
    <t>Túi che xe máy</t>
  </si>
  <si>
    <t>Xe</t>
  </si>
  <si>
    <t>Phụ kiện xe</t>
  </si>
  <si>
    <t>Túi che xe hơi 4 chổ</t>
  </si>
  <si>
    <t>Ô che bằng vải dù</t>
  </si>
  <si>
    <t>Chai xịt khoáng</t>
  </si>
  <si>
    <t>Mỹ phẩm chăm sóc</t>
  </si>
  <si>
    <t>Date</t>
  </si>
  <si>
    <t>Weather</t>
  </si>
  <si>
    <t>Location</t>
  </si>
  <si>
    <t>Id</t>
  </si>
  <si>
    <t>HCM</t>
  </si>
  <si>
    <t>Hot</t>
  </si>
  <si>
    <t>Cold</t>
  </si>
  <si>
    <t>HN</t>
  </si>
  <si>
    <t>Warm</t>
  </si>
  <si>
    <t>Quantity</t>
  </si>
  <si>
    <t>Search</t>
  </si>
  <si>
    <t>ViewDuration</t>
  </si>
  <si>
    <t>Thời trang mùa hè</t>
  </si>
  <si>
    <t>Thời trang mùa đông</t>
  </si>
  <si>
    <t>Dù</t>
  </si>
  <si>
    <t>Bộ vệ sinh laptop</t>
  </si>
  <si>
    <t>Laptop Asus</t>
  </si>
  <si>
    <t>Asus</t>
  </si>
  <si>
    <t xml:space="preserve"> Đắc nhân tâm</t>
  </si>
  <si>
    <t>Giáo dục</t>
  </si>
  <si>
    <t>Sách</t>
  </si>
  <si>
    <t>7 Thói quen hiệu quả</t>
  </si>
  <si>
    <t>Khéo ăn nói sẽ có được thiên hạ</t>
  </si>
  <si>
    <t>Đừng bao giờ đi ăn một mình</t>
  </si>
  <si>
    <t>Nhà bán hàng vĩ đại</t>
  </si>
  <si>
    <t>Sherlock Holm</t>
  </si>
  <si>
    <t>Tâm lý học tội phạm</t>
  </si>
  <si>
    <t>Thám tử Conan</t>
  </si>
  <si>
    <t>Sách detective</t>
  </si>
  <si>
    <t>Tony buổi sáng</t>
  </si>
  <si>
    <t>Bí quyết của thành công</t>
  </si>
  <si>
    <t>Month</t>
  </si>
  <si>
    <t>Holiday</t>
  </si>
  <si>
    <t>Desease</t>
  </si>
  <si>
    <t>Product</t>
  </si>
  <si>
    <t>Level</t>
  </si>
  <si>
    <t>Lunar New Year</t>
  </si>
  <si>
    <t>Mứt</t>
  </si>
  <si>
    <t>Beer</t>
  </si>
  <si>
    <t xml:space="preserve">Mứt dừa </t>
  </si>
  <si>
    <t>Mứt gừng</t>
  </si>
  <si>
    <t>Bánh kẹo</t>
  </si>
  <si>
    <t>Mứt dừa lá dứa</t>
  </si>
  <si>
    <t>Beer Heiniken</t>
  </si>
  <si>
    <t>Nước uống</t>
  </si>
  <si>
    <t>Pepsi</t>
  </si>
  <si>
    <t>Coca Cola</t>
  </si>
  <si>
    <t>BuyerActiveActivity</t>
  </si>
  <si>
    <t>Cool</t>
  </si>
  <si>
    <t>Gender</t>
  </si>
  <si>
    <t>Age</t>
  </si>
  <si>
    <t>TotalOrder</t>
  </si>
  <si>
    <t>TotalAmount</t>
  </si>
  <si>
    <t>Male</t>
  </si>
  <si>
    <t>Female</t>
  </si>
  <si>
    <t>DN</t>
  </si>
  <si>
    <t>DL</t>
  </si>
  <si>
    <t>Time</t>
  </si>
  <si>
    <t>TotalOnline</t>
  </si>
  <si>
    <t>Technology</t>
  </si>
  <si>
    <t>Beauty</t>
  </si>
  <si>
    <t>Travel</t>
  </si>
  <si>
    <t>Fashion</t>
  </si>
  <si>
    <t>Comment</t>
  </si>
  <si>
    <t>Label</t>
  </si>
  <si>
    <t>sản phẩm quá tệ</t>
  </si>
  <si>
    <t>sảm phẩm tệ, tôi không thích</t>
  </si>
  <si>
    <t>giao hàng quá trễ, tôi không thích</t>
  </si>
  <si>
    <t>giao hàng trễ</t>
  </si>
  <si>
    <t>Sản phẩm rất tốt</t>
  </si>
  <si>
    <t>sản phẩm tốt, tiếp tục ủng hộ</t>
  </si>
  <si>
    <t>giao hàng nhanh</t>
  </si>
  <si>
    <t>giao hàng nhanh, sản phẩm tốt</t>
  </si>
  <si>
    <t>Sản phẩm tệ, mua về dùng không được</t>
  </si>
  <si>
    <t>Sản phẩm không như mong muốn</t>
  </si>
  <si>
    <t>Giao hàng lâu</t>
  </si>
  <si>
    <t>Giao hàng quá lâu, 1 tuần chưa tới</t>
  </si>
  <si>
    <t>BuyerActive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</si>
</sst>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Views>
    <sheetView topLeftCell="A43" workbookViewId="0">
      <selection activeCell="B46" sqref="B46"/>
    </sheetView>
  </sheetViews>
  <sheetFormatPr defaultRowHeight="15" x14ac:dyDescent="0.25"/>
  <cols>
    <col min="1" max="1" width="13.28515625" customWidth="1"/>
    <col min="2" max="2" width="32.85546875" customWidth="1"/>
    <col min="3" max="3" width="15.28515625" customWidth="1"/>
    <col min="4" max="4" width="14" customWidth="1"/>
  </cols>
  <sheetData>
    <row r="1" spans="1:5" x14ac:dyDescent="0.25">
      <c r="A1" t="s">
        <v>0</v>
      </c>
      <c r="B1" t="s">
        <v>1</v>
      </c>
      <c r="C1" t="s">
        <v>103</v>
      </c>
      <c r="D1" t="s">
        <v>144</v>
      </c>
      <c r="E1" t="s">
        <v>163</v>
      </c>
    </row>
    <row r="2" spans="1:5" x14ac:dyDescent="0.25">
      <c r="A2">
        <v>1</v>
      </c>
      <c r="B2" t="s">
        <v>2</v>
      </c>
      <c r="C2">
        <v>11</v>
      </c>
      <c r="D2" t="s">
        <v>145</v>
      </c>
      <c r="E2">
        <v>1</v>
      </c>
    </row>
    <row r="3" spans="1:5" x14ac:dyDescent="0.25">
      <c r="A3">
        <v>2</v>
      </c>
      <c r="B3" t="s">
        <v>3</v>
      </c>
      <c r="C3">
        <v>12</v>
      </c>
      <c r="D3" t="s">
        <v>145</v>
      </c>
      <c r="E3">
        <v>1</v>
      </c>
    </row>
    <row r="4" spans="1:5" x14ac:dyDescent="0.25">
      <c r="A4">
        <v>3</v>
      </c>
      <c r="B4" t="s">
        <v>4</v>
      </c>
      <c r="C4">
        <v>12</v>
      </c>
      <c r="D4" t="s">
        <v>145</v>
      </c>
      <c r="E4">
        <v>1</v>
      </c>
    </row>
    <row r="5" spans="1:5" x14ac:dyDescent="0.25">
      <c r="A5">
        <v>4</v>
      </c>
      <c r="B5" t="s">
        <v>23</v>
      </c>
      <c r="C5">
        <v>14</v>
      </c>
      <c r="D5" t="s">
        <v>146</v>
      </c>
    </row>
    <row r="6" spans="1:5" x14ac:dyDescent="0.25">
      <c r="A6">
        <v>5</v>
      </c>
      <c r="B6" t="s">
        <v>6</v>
      </c>
      <c r="C6">
        <v>37</v>
      </c>
    </row>
    <row r="7" spans="1:5" x14ac:dyDescent="0.25">
      <c r="A7">
        <v>6</v>
      </c>
      <c r="B7" t="s">
        <v>7</v>
      </c>
      <c r="C7">
        <v>22</v>
      </c>
      <c r="E7">
        <v>1</v>
      </c>
    </row>
    <row r="8" spans="1:5" x14ac:dyDescent="0.25">
      <c r="A8">
        <v>7</v>
      </c>
      <c r="B8" t="s">
        <v>8</v>
      </c>
      <c r="C8">
        <v>24</v>
      </c>
    </row>
    <row r="9" spans="1:5" x14ac:dyDescent="0.25">
      <c r="A9">
        <v>8</v>
      </c>
      <c r="B9" t="s">
        <v>9</v>
      </c>
      <c r="C9">
        <v>25</v>
      </c>
      <c r="E9">
        <v>1</v>
      </c>
    </row>
    <row r="10" spans="1:5" x14ac:dyDescent="0.25">
      <c r="A10">
        <v>9</v>
      </c>
      <c r="B10" t="s">
        <v>10</v>
      </c>
      <c r="C10">
        <v>26</v>
      </c>
      <c r="D10" t="s">
        <v>147</v>
      </c>
    </row>
    <row r="11" spans="1:5" x14ac:dyDescent="0.25">
      <c r="A11">
        <v>10</v>
      </c>
      <c r="B11" t="s">
        <v>11</v>
      </c>
      <c r="C11">
        <v>23</v>
      </c>
    </row>
    <row r="12" spans="1:5" x14ac:dyDescent="0.25">
      <c r="A12">
        <v>11</v>
      </c>
      <c r="B12" t="s">
        <v>12</v>
      </c>
      <c r="C12">
        <v>38</v>
      </c>
      <c r="E12">
        <v>1</v>
      </c>
    </row>
    <row r="13" spans="1:5" x14ac:dyDescent="0.25">
      <c r="A13">
        <v>12</v>
      </c>
      <c r="B13" t="s">
        <v>13</v>
      </c>
      <c r="C13">
        <v>45</v>
      </c>
    </row>
    <row r="14" spans="1:5" x14ac:dyDescent="0.25">
      <c r="A14">
        <v>13</v>
      </c>
      <c r="B14" t="s">
        <v>14</v>
      </c>
      <c r="C14">
        <v>45</v>
      </c>
      <c r="E14">
        <v>1</v>
      </c>
    </row>
    <row r="15" spans="1:5" x14ac:dyDescent="0.25">
      <c r="A15">
        <v>14</v>
      </c>
      <c r="B15" t="s">
        <v>49</v>
      </c>
      <c r="C15">
        <v>20</v>
      </c>
      <c r="D15" t="s">
        <v>148</v>
      </c>
    </row>
    <row r="16" spans="1:5" x14ac:dyDescent="0.25">
      <c r="A16">
        <v>15</v>
      </c>
      <c r="B16" t="s">
        <v>45</v>
      </c>
      <c r="C16">
        <v>19</v>
      </c>
      <c r="D16" t="s">
        <v>148</v>
      </c>
      <c r="E16">
        <v>1</v>
      </c>
    </row>
    <row r="17" spans="1:5" x14ac:dyDescent="0.25">
      <c r="A17">
        <v>16</v>
      </c>
      <c r="B17" t="s">
        <v>46</v>
      </c>
      <c r="C17">
        <v>21</v>
      </c>
      <c r="D17" t="s">
        <v>148</v>
      </c>
      <c r="E17">
        <v>1</v>
      </c>
    </row>
    <row r="18" spans="1:5" x14ac:dyDescent="0.25">
      <c r="A18">
        <v>17</v>
      </c>
      <c r="B18" t="s">
        <v>15</v>
      </c>
      <c r="C18">
        <v>21</v>
      </c>
    </row>
    <row r="19" spans="1:5" x14ac:dyDescent="0.25">
      <c r="A19">
        <v>18</v>
      </c>
      <c r="B19" t="s">
        <v>16</v>
      </c>
      <c r="C19">
        <v>29</v>
      </c>
      <c r="E19">
        <v>1</v>
      </c>
    </row>
    <row r="20" spans="1:5" x14ac:dyDescent="0.25">
      <c r="A20">
        <v>19</v>
      </c>
      <c r="B20" t="s">
        <v>26</v>
      </c>
      <c r="C20">
        <v>28</v>
      </c>
      <c r="E20">
        <v>1</v>
      </c>
    </row>
    <row r="21" spans="1:5" x14ac:dyDescent="0.25">
      <c r="A21">
        <v>20</v>
      </c>
      <c r="B21" t="s">
        <v>31</v>
      </c>
      <c r="C21">
        <v>28</v>
      </c>
      <c r="D21" t="s">
        <v>149</v>
      </c>
      <c r="E21">
        <v>1</v>
      </c>
    </row>
    <row r="22" spans="1:5" x14ac:dyDescent="0.25">
      <c r="A22">
        <v>21</v>
      </c>
      <c r="B22" t="s">
        <v>17</v>
      </c>
      <c r="C22">
        <v>29</v>
      </c>
      <c r="E22">
        <v>1</v>
      </c>
    </row>
    <row r="23" spans="1:5" x14ac:dyDescent="0.25">
      <c r="A23">
        <v>22</v>
      </c>
      <c r="B23" t="s">
        <v>29</v>
      </c>
      <c r="C23">
        <v>29</v>
      </c>
      <c r="D23" t="s">
        <v>149</v>
      </c>
    </row>
    <row r="24" spans="1:5" x14ac:dyDescent="0.25">
      <c r="A24">
        <v>23</v>
      </c>
      <c r="B24" t="s">
        <v>43</v>
      </c>
      <c r="C24">
        <v>28</v>
      </c>
      <c r="D24" t="s">
        <v>149</v>
      </c>
      <c r="E24">
        <v>1</v>
      </c>
    </row>
    <row r="25" spans="1:5" x14ac:dyDescent="0.25">
      <c r="A25">
        <v>24</v>
      </c>
      <c r="B25" t="s">
        <v>18</v>
      </c>
      <c r="C25">
        <v>16</v>
      </c>
      <c r="D25" t="s">
        <v>145</v>
      </c>
      <c r="E25">
        <v>1</v>
      </c>
    </row>
    <row r="26" spans="1:5" x14ac:dyDescent="0.25">
      <c r="A26">
        <v>25</v>
      </c>
      <c r="B26" t="s">
        <v>19</v>
      </c>
      <c r="C26">
        <v>17</v>
      </c>
      <c r="D26" t="s">
        <v>145</v>
      </c>
      <c r="E26">
        <v>1</v>
      </c>
    </row>
    <row r="27" spans="1:5" x14ac:dyDescent="0.25">
      <c r="A27">
        <v>26</v>
      </c>
      <c r="B27" t="s">
        <v>20</v>
      </c>
      <c r="C27">
        <v>15</v>
      </c>
      <c r="D27" t="s">
        <v>145</v>
      </c>
      <c r="E27">
        <v>1</v>
      </c>
    </row>
    <row r="28" spans="1:5" x14ac:dyDescent="0.25">
      <c r="A28">
        <v>27</v>
      </c>
      <c r="B28" t="s">
        <v>21</v>
      </c>
      <c r="C28">
        <v>16</v>
      </c>
      <c r="D28" t="s">
        <v>150</v>
      </c>
    </row>
    <row r="29" spans="1:5" x14ac:dyDescent="0.25">
      <c r="A29">
        <v>28</v>
      </c>
      <c r="B29" t="s">
        <v>22</v>
      </c>
      <c r="C29">
        <v>16</v>
      </c>
      <c r="D29" t="s">
        <v>151</v>
      </c>
    </row>
    <row r="30" spans="1:5" x14ac:dyDescent="0.25">
      <c r="A30">
        <v>29</v>
      </c>
      <c r="B30" t="s">
        <v>24</v>
      </c>
      <c r="C30">
        <v>14</v>
      </c>
      <c r="E30">
        <v>1</v>
      </c>
    </row>
    <row r="31" spans="1:5" x14ac:dyDescent="0.25">
      <c r="A31">
        <v>30</v>
      </c>
      <c r="B31" t="s">
        <v>25</v>
      </c>
      <c r="C31">
        <v>14</v>
      </c>
      <c r="E31">
        <v>1</v>
      </c>
    </row>
    <row r="32" spans="1:5" x14ac:dyDescent="0.25">
      <c r="A32">
        <v>31</v>
      </c>
      <c r="B32" t="s">
        <v>27</v>
      </c>
      <c r="C32">
        <v>28</v>
      </c>
    </row>
    <row r="33" spans="1:5" x14ac:dyDescent="0.25">
      <c r="A33">
        <v>32</v>
      </c>
      <c r="B33" t="s">
        <v>28</v>
      </c>
      <c r="C33">
        <v>29</v>
      </c>
    </row>
    <row r="34" spans="1:5" x14ac:dyDescent="0.25">
      <c r="A34">
        <v>33</v>
      </c>
      <c r="B34" t="s">
        <v>30</v>
      </c>
      <c r="C34">
        <v>29</v>
      </c>
      <c r="D34" t="s">
        <v>152</v>
      </c>
      <c r="E34">
        <v>1</v>
      </c>
    </row>
    <row r="35" spans="1:5" x14ac:dyDescent="0.25">
      <c r="A35">
        <v>34</v>
      </c>
      <c r="B35" t="s">
        <v>32</v>
      </c>
      <c r="C35">
        <v>28</v>
      </c>
      <c r="D35" t="s">
        <v>152</v>
      </c>
      <c r="E35">
        <v>1</v>
      </c>
    </row>
    <row r="36" spans="1:5" x14ac:dyDescent="0.25">
      <c r="A36">
        <v>35</v>
      </c>
      <c r="B36" t="s">
        <v>33</v>
      </c>
      <c r="C36">
        <v>15</v>
      </c>
      <c r="D36" t="s">
        <v>153</v>
      </c>
      <c r="E36">
        <v>1</v>
      </c>
    </row>
    <row r="37" spans="1:5" x14ac:dyDescent="0.25">
      <c r="A37">
        <v>36</v>
      </c>
      <c r="B37" t="s">
        <v>34</v>
      </c>
      <c r="C37">
        <v>15</v>
      </c>
      <c r="D37" t="s">
        <v>154</v>
      </c>
    </row>
    <row r="38" spans="1:5" x14ac:dyDescent="0.25">
      <c r="A38">
        <v>37</v>
      </c>
      <c r="B38" t="s">
        <v>35</v>
      </c>
      <c r="C38">
        <v>11</v>
      </c>
      <c r="D38" t="s">
        <v>145</v>
      </c>
    </row>
    <row r="39" spans="1:5" x14ac:dyDescent="0.25">
      <c r="A39">
        <v>38</v>
      </c>
      <c r="B39" t="s">
        <v>36</v>
      </c>
      <c r="C39">
        <v>11</v>
      </c>
      <c r="D39" t="s">
        <v>145</v>
      </c>
      <c r="E39">
        <v>1</v>
      </c>
    </row>
    <row r="40" spans="1:5" x14ac:dyDescent="0.25">
      <c r="A40">
        <v>39</v>
      </c>
      <c r="B40" t="s">
        <v>37</v>
      </c>
      <c r="C40">
        <v>12</v>
      </c>
      <c r="D40" t="s">
        <v>156</v>
      </c>
      <c r="E40">
        <v>1</v>
      </c>
    </row>
    <row r="41" spans="1:5" x14ac:dyDescent="0.25">
      <c r="A41">
        <v>40</v>
      </c>
      <c r="B41" t="s">
        <v>38</v>
      </c>
      <c r="C41">
        <v>13</v>
      </c>
      <c r="D41" t="s">
        <v>156</v>
      </c>
      <c r="E41">
        <v>1</v>
      </c>
    </row>
    <row r="42" spans="1:5" x14ac:dyDescent="0.25">
      <c r="A42">
        <v>41</v>
      </c>
      <c r="B42" t="s">
        <v>39</v>
      </c>
      <c r="C42">
        <v>15</v>
      </c>
      <c r="D42" t="s">
        <v>156</v>
      </c>
    </row>
    <row r="43" spans="1:5" x14ac:dyDescent="0.25">
      <c r="A43">
        <v>42</v>
      </c>
      <c r="B43" t="s">
        <v>40</v>
      </c>
      <c r="C43">
        <v>15</v>
      </c>
      <c r="D43" t="s">
        <v>146</v>
      </c>
    </row>
    <row r="44" spans="1:5" x14ac:dyDescent="0.25">
      <c r="A44">
        <v>43</v>
      </c>
      <c r="B44" t="s">
        <v>41</v>
      </c>
      <c r="C44">
        <v>12</v>
      </c>
      <c r="D44" t="s">
        <v>146</v>
      </c>
    </row>
    <row r="45" spans="1:5" x14ac:dyDescent="0.25">
      <c r="A45">
        <v>44</v>
      </c>
      <c r="B45" t="s">
        <v>42</v>
      </c>
      <c r="C45">
        <v>13</v>
      </c>
      <c r="D45" t="s">
        <v>146</v>
      </c>
    </row>
    <row r="46" spans="1:5" x14ac:dyDescent="0.25">
      <c r="A46">
        <v>45</v>
      </c>
      <c r="B46" t="s">
        <v>44</v>
      </c>
      <c r="C46">
        <v>28</v>
      </c>
      <c r="D46" t="s">
        <v>152</v>
      </c>
    </row>
    <row r="47" spans="1:5" x14ac:dyDescent="0.25">
      <c r="A47">
        <v>46</v>
      </c>
      <c r="B47" t="s">
        <v>47</v>
      </c>
      <c r="C47">
        <v>21</v>
      </c>
      <c r="E47">
        <v>1</v>
      </c>
    </row>
    <row r="48" spans="1:5" x14ac:dyDescent="0.25">
      <c r="A48">
        <v>47</v>
      </c>
      <c r="B48" t="s">
        <v>48</v>
      </c>
      <c r="C48">
        <v>19</v>
      </c>
      <c r="D48" t="s">
        <v>157</v>
      </c>
      <c r="E48">
        <v>1</v>
      </c>
    </row>
    <row r="49" spans="1:5" x14ac:dyDescent="0.25">
      <c r="A49">
        <v>48</v>
      </c>
      <c r="B49" t="s">
        <v>50</v>
      </c>
      <c r="C49">
        <v>20</v>
      </c>
      <c r="D49" t="s">
        <v>157</v>
      </c>
      <c r="E49">
        <v>1</v>
      </c>
    </row>
    <row r="50" spans="1:5" x14ac:dyDescent="0.25">
      <c r="A50">
        <v>49</v>
      </c>
      <c r="B50" t="s">
        <v>51</v>
      </c>
      <c r="C50">
        <v>30</v>
      </c>
      <c r="E50">
        <v>1</v>
      </c>
    </row>
    <row r="51" spans="1:5" x14ac:dyDescent="0.25">
      <c r="A51">
        <v>50</v>
      </c>
      <c r="B51" t="s">
        <v>53</v>
      </c>
      <c r="C51">
        <v>30</v>
      </c>
      <c r="D51" t="s">
        <v>158</v>
      </c>
    </row>
    <row r="52" spans="1:5" x14ac:dyDescent="0.25">
      <c r="A52">
        <v>51</v>
      </c>
      <c r="B52" t="s">
        <v>52</v>
      </c>
      <c r="C52">
        <v>10</v>
      </c>
    </row>
    <row r="53" spans="1:5" x14ac:dyDescent="0.25">
      <c r="A53">
        <v>52</v>
      </c>
      <c r="B53" t="s">
        <v>54</v>
      </c>
      <c r="C53">
        <v>30</v>
      </c>
      <c r="D53" t="s">
        <v>158</v>
      </c>
    </row>
    <row r="54" spans="1:5" x14ac:dyDescent="0.25">
      <c r="A54">
        <v>53</v>
      </c>
      <c r="B54" t="s">
        <v>55</v>
      </c>
      <c r="C54">
        <v>30</v>
      </c>
      <c r="D54" t="s">
        <v>159</v>
      </c>
    </row>
    <row r="55" spans="1:5" x14ac:dyDescent="0.25">
      <c r="A55">
        <v>54</v>
      </c>
      <c r="B55" t="s">
        <v>56</v>
      </c>
      <c r="C55">
        <v>30</v>
      </c>
      <c r="D55" t="s">
        <v>159</v>
      </c>
      <c r="E55">
        <v>1</v>
      </c>
    </row>
    <row r="56" spans="1:5" x14ac:dyDescent="0.25">
      <c r="A56">
        <v>55</v>
      </c>
      <c r="B56" t="s">
        <v>57</v>
      </c>
      <c r="C56">
        <v>31</v>
      </c>
      <c r="D56" t="s">
        <v>158</v>
      </c>
      <c r="E56">
        <v>1</v>
      </c>
    </row>
    <row r="57" spans="1:5" x14ac:dyDescent="0.25">
      <c r="A57">
        <v>56</v>
      </c>
      <c r="B57" t="s">
        <v>58</v>
      </c>
      <c r="C57">
        <v>31</v>
      </c>
      <c r="D57" t="s">
        <v>159</v>
      </c>
      <c r="E57">
        <v>1</v>
      </c>
    </row>
    <row r="58" spans="1:5" x14ac:dyDescent="0.25">
      <c r="A58">
        <v>57</v>
      </c>
      <c r="B58" t="s">
        <v>59</v>
      </c>
      <c r="C58">
        <v>32</v>
      </c>
      <c r="D58" t="s">
        <v>160</v>
      </c>
    </row>
    <row r="59" spans="1:5" x14ac:dyDescent="0.25">
      <c r="A59">
        <v>58</v>
      </c>
      <c r="B59" t="s">
        <v>60</v>
      </c>
      <c r="C59">
        <v>32</v>
      </c>
      <c r="D59" t="s">
        <v>161</v>
      </c>
      <c r="E59">
        <v>1</v>
      </c>
    </row>
    <row r="60" spans="1:5" x14ac:dyDescent="0.25">
      <c r="A60">
        <v>59</v>
      </c>
      <c r="B60" t="s">
        <v>61</v>
      </c>
      <c r="C60">
        <v>33</v>
      </c>
      <c r="E60">
        <v>1</v>
      </c>
    </row>
    <row r="61" spans="1:5" x14ac:dyDescent="0.25">
      <c r="A61">
        <v>60</v>
      </c>
      <c r="B61" t="s">
        <v>62</v>
      </c>
      <c r="C61">
        <v>33</v>
      </c>
    </row>
    <row r="62" spans="1:5" x14ac:dyDescent="0.25">
      <c r="A62">
        <v>61</v>
      </c>
      <c r="B62" t="s">
        <v>63</v>
      </c>
      <c r="C62">
        <v>34</v>
      </c>
      <c r="E62">
        <v>1</v>
      </c>
    </row>
    <row r="63" spans="1:5" x14ac:dyDescent="0.25">
      <c r="A63">
        <v>62</v>
      </c>
      <c r="B63" t="s">
        <v>64</v>
      </c>
      <c r="C63">
        <v>34</v>
      </c>
    </row>
    <row r="64" spans="1:5" x14ac:dyDescent="0.25">
      <c r="A64">
        <v>63</v>
      </c>
      <c r="B64" t="s">
        <v>65</v>
      </c>
      <c r="C64">
        <v>33</v>
      </c>
    </row>
    <row r="65" spans="1:5" x14ac:dyDescent="0.25">
      <c r="A65">
        <v>64</v>
      </c>
      <c r="B65" t="s">
        <v>66</v>
      </c>
      <c r="C65">
        <v>33</v>
      </c>
      <c r="E65">
        <v>1</v>
      </c>
    </row>
    <row r="66" spans="1:5" x14ac:dyDescent="0.25">
      <c r="A66">
        <v>65</v>
      </c>
      <c r="B66" t="s">
        <v>67</v>
      </c>
      <c r="C66">
        <v>33</v>
      </c>
    </row>
    <row r="67" spans="1:5" x14ac:dyDescent="0.25">
      <c r="A67">
        <v>66</v>
      </c>
      <c r="B67" t="s">
        <v>68</v>
      </c>
      <c r="C67">
        <v>33</v>
      </c>
      <c r="E67">
        <v>1</v>
      </c>
    </row>
    <row r="68" spans="1:5" x14ac:dyDescent="0.25">
      <c r="A68">
        <v>67</v>
      </c>
      <c r="B68" t="s">
        <v>69</v>
      </c>
      <c r="C68">
        <v>33</v>
      </c>
    </row>
    <row r="69" spans="1:5" x14ac:dyDescent="0.25">
      <c r="A69">
        <v>68</v>
      </c>
      <c r="B69" t="s">
        <v>70</v>
      </c>
      <c r="C69">
        <v>34</v>
      </c>
    </row>
    <row r="70" spans="1:5" x14ac:dyDescent="0.25">
      <c r="A70">
        <v>69</v>
      </c>
      <c r="B70" t="s">
        <v>71</v>
      </c>
      <c r="C70">
        <v>34</v>
      </c>
      <c r="E70">
        <v>1</v>
      </c>
    </row>
    <row r="71" spans="1:5" x14ac:dyDescent="0.25">
      <c r="A71">
        <v>70</v>
      </c>
      <c r="B71" t="s">
        <v>72</v>
      </c>
      <c r="C71">
        <v>34</v>
      </c>
    </row>
    <row r="72" spans="1:5" x14ac:dyDescent="0.25">
      <c r="A72">
        <v>71</v>
      </c>
      <c r="B72" t="s">
        <v>73</v>
      </c>
      <c r="C72">
        <v>33</v>
      </c>
    </row>
    <row r="73" spans="1:5" x14ac:dyDescent="0.25">
      <c r="A73">
        <v>72</v>
      </c>
      <c r="B73" t="s">
        <v>74</v>
      </c>
      <c r="C73">
        <v>33</v>
      </c>
      <c r="E73">
        <v>1</v>
      </c>
    </row>
    <row r="74" spans="1:5" x14ac:dyDescent="0.25">
      <c r="A74">
        <v>73</v>
      </c>
      <c r="B74" t="s">
        <v>75</v>
      </c>
      <c r="C74">
        <v>33</v>
      </c>
      <c r="E74">
        <v>1</v>
      </c>
    </row>
    <row r="75" spans="1:5" x14ac:dyDescent="0.25">
      <c r="A75">
        <v>74</v>
      </c>
      <c r="B75" t="s">
        <v>76</v>
      </c>
      <c r="C75">
        <v>33</v>
      </c>
    </row>
    <row r="76" spans="1:5" x14ac:dyDescent="0.25">
      <c r="A76">
        <v>75</v>
      </c>
      <c r="B76" t="s">
        <v>77</v>
      </c>
      <c r="C76">
        <v>33</v>
      </c>
      <c r="E76">
        <v>1</v>
      </c>
    </row>
    <row r="77" spans="1:5" x14ac:dyDescent="0.25">
      <c r="A77">
        <v>76</v>
      </c>
      <c r="B77" t="s">
        <v>78</v>
      </c>
      <c r="C77">
        <v>33</v>
      </c>
      <c r="E77">
        <v>1</v>
      </c>
    </row>
    <row r="78" spans="1:5" x14ac:dyDescent="0.25">
      <c r="A78">
        <v>77</v>
      </c>
      <c r="B78" t="s">
        <v>79</v>
      </c>
      <c r="C78">
        <v>35</v>
      </c>
      <c r="E78">
        <v>1</v>
      </c>
    </row>
    <row r="79" spans="1:5" x14ac:dyDescent="0.25">
      <c r="A79">
        <v>78</v>
      </c>
      <c r="B79" t="s">
        <v>80</v>
      </c>
      <c r="C79">
        <v>35</v>
      </c>
      <c r="E79">
        <v>1</v>
      </c>
    </row>
    <row r="80" spans="1:5" x14ac:dyDescent="0.25">
      <c r="A80">
        <v>79</v>
      </c>
      <c r="B80" t="s">
        <v>81</v>
      </c>
      <c r="C80">
        <v>35</v>
      </c>
    </row>
    <row r="81" spans="1:5" x14ac:dyDescent="0.25">
      <c r="A81">
        <v>80</v>
      </c>
      <c r="B81" t="s">
        <v>82</v>
      </c>
      <c r="C81">
        <v>35</v>
      </c>
      <c r="D81" t="s">
        <v>162</v>
      </c>
      <c r="E81">
        <v>1</v>
      </c>
    </row>
    <row r="82" spans="1:5" x14ac:dyDescent="0.25">
      <c r="A82">
        <v>81</v>
      </c>
      <c r="B82" t="s">
        <v>83</v>
      </c>
      <c r="C82">
        <v>35</v>
      </c>
      <c r="E82">
        <v>1</v>
      </c>
    </row>
    <row r="83" spans="1:5" x14ac:dyDescent="0.25">
      <c r="A83">
        <v>82</v>
      </c>
      <c r="B83" t="s">
        <v>84</v>
      </c>
      <c r="C83">
        <v>35</v>
      </c>
      <c r="D83" t="s">
        <v>162</v>
      </c>
      <c r="E83">
        <v>1</v>
      </c>
    </row>
    <row r="84" spans="1:5" x14ac:dyDescent="0.25">
      <c r="A84">
        <v>83</v>
      </c>
      <c r="B84" t="s">
        <v>85</v>
      </c>
      <c r="C84">
        <v>35</v>
      </c>
    </row>
    <row r="85" spans="1:5" x14ac:dyDescent="0.25">
      <c r="A85">
        <v>84</v>
      </c>
      <c r="B85" t="s">
        <v>86</v>
      </c>
      <c r="C85">
        <v>35</v>
      </c>
    </row>
    <row r="86" spans="1:5" x14ac:dyDescent="0.25">
      <c r="A86">
        <v>85</v>
      </c>
      <c r="B86" t="s">
        <v>87</v>
      </c>
      <c r="C86">
        <v>35</v>
      </c>
      <c r="E86">
        <v>1</v>
      </c>
    </row>
    <row r="87" spans="1:5" x14ac:dyDescent="0.25">
      <c r="A87">
        <v>86</v>
      </c>
      <c r="B87" t="s">
        <v>88</v>
      </c>
      <c r="C87">
        <v>35</v>
      </c>
      <c r="E87">
        <v>1</v>
      </c>
    </row>
    <row r="88" spans="1:5" x14ac:dyDescent="0.25">
      <c r="A88">
        <v>87</v>
      </c>
      <c r="B88" t="s">
        <v>89</v>
      </c>
      <c r="C88">
        <v>35</v>
      </c>
      <c r="D88" t="s">
        <v>162</v>
      </c>
      <c r="E88">
        <v>1</v>
      </c>
    </row>
    <row r="89" spans="1:5" x14ac:dyDescent="0.25">
      <c r="A89">
        <v>88</v>
      </c>
      <c r="B89" t="s">
        <v>90</v>
      </c>
      <c r="C89">
        <v>36</v>
      </c>
    </row>
    <row r="90" spans="1:5" x14ac:dyDescent="0.25">
      <c r="A90">
        <v>89</v>
      </c>
      <c r="B90" t="s">
        <v>91</v>
      </c>
      <c r="C90">
        <v>36</v>
      </c>
    </row>
    <row r="91" spans="1:5" x14ac:dyDescent="0.25">
      <c r="A91">
        <v>90</v>
      </c>
      <c r="B91" t="s">
        <v>92</v>
      </c>
      <c r="C91">
        <v>36</v>
      </c>
      <c r="E91">
        <v>1</v>
      </c>
    </row>
    <row r="92" spans="1:5" x14ac:dyDescent="0.25">
      <c r="A92">
        <v>91</v>
      </c>
      <c r="B92" t="s">
        <v>93</v>
      </c>
      <c r="C92">
        <v>36</v>
      </c>
      <c r="E92">
        <v>1</v>
      </c>
    </row>
    <row r="93" spans="1:5" x14ac:dyDescent="0.25">
      <c r="A93">
        <v>92</v>
      </c>
      <c r="B93" t="s">
        <v>94</v>
      </c>
      <c r="C93">
        <v>36</v>
      </c>
    </row>
    <row r="94" spans="1:5" x14ac:dyDescent="0.25">
      <c r="A94">
        <v>93</v>
      </c>
      <c r="B94" t="s">
        <v>95</v>
      </c>
      <c r="C94">
        <v>36</v>
      </c>
    </row>
    <row r="95" spans="1:5" x14ac:dyDescent="0.25">
      <c r="A95">
        <v>94</v>
      </c>
      <c r="B95" t="s">
        <v>96</v>
      </c>
      <c r="C95">
        <v>36</v>
      </c>
      <c r="E95">
        <v>1</v>
      </c>
    </row>
    <row r="96" spans="1:5" x14ac:dyDescent="0.25">
      <c r="A96">
        <v>95</v>
      </c>
      <c r="B96" t="s">
        <v>97</v>
      </c>
      <c r="C96">
        <v>36</v>
      </c>
      <c r="E96">
        <v>1</v>
      </c>
    </row>
    <row r="97" spans="1:5" x14ac:dyDescent="0.25">
      <c r="A97">
        <v>96</v>
      </c>
      <c r="B97" t="s">
        <v>98</v>
      </c>
      <c r="C97">
        <v>36</v>
      </c>
    </row>
    <row r="98" spans="1:5" x14ac:dyDescent="0.25">
      <c r="A98">
        <v>97</v>
      </c>
      <c r="B98" t="s">
        <v>99</v>
      </c>
      <c r="C98">
        <v>36</v>
      </c>
      <c r="E98">
        <v>1</v>
      </c>
    </row>
    <row r="99" spans="1:5" x14ac:dyDescent="0.25">
      <c r="A99">
        <v>98</v>
      </c>
      <c r="B99" t="s">
        <v>100</v>
      </c>
      <c r="C99">
        <v>36</v>
      </c>
    </row>
    <row r="100" spans="1:5" x14ac:dyDescent="0.25">
      <c r="A100">
        <v>99</v>
      </c>
      <c r="B100" t="s">
        <v>101</v>
      </c>
      <c r="C100">
        <v>36</v>
      </c>
      <c r="E100">
        <v>1</v>
      </c>
    </row>
    <row r="101" spans="1:5" x14ac:dyDescent="0.25">
      <c r="A101">
        <v>100</v>
      </c>
      <c r="B101" t="s">
        <v>102</v>
      </c>
      <c r="C101">
        <v>36</v>
      </c>
    </row>
    <row r="102" spans="1:5" x14ac:dyDescent="0.25">
      <c r="A102">
        <v>101</v>
      </c>
      <c r="B102" t="s">
        <v>155</v>
      </c>
      <c r="C102">
        <v>15</v>
      </c>
      <c r="D102" t="s">
        <v>151</v>
      </c>
      <c r="E102">
        <v>1</v>
      </c>
    </row>
    <row r="103" spans="1:5" x14ac:dyDescent="0.25">
      <c r="A103">
        <v>102</v>
      </c>
      <c r="B103" t="s">
        <v>166</v>
      </c>
      <c r="C103">
        <v>39</v>
      </c>
    </row>
    <row r="104" spans="1:5" x14ac:dyDescent="0.25">
      <c r="A104">
        <v>103</v>
      </c>
      <c r="B104" t="s">
        <v>167</v>
      </c>
      <c r="C104">
        <v>29</v>
      </c>
    </row>
    <row r="105" spans="1:5" x14ac:dyDescent="0.25">
      <c r="A105">
        <v>104</v>
      </c>
      <c r="B105" t="s">
        <v>168</v>
      </c>
      <c r="C105">
        <v>29</v>
      </c>
    </row>
    <row r="106" spans="1:5" x14ac:dyDescent="0.25">
      <c r="A106">
        <v>105</v>
      </c>
      <c r="B106" t="s">
        <v>169</v>
      </c>
      <c r="C106">
        <v>40</v>
      </c>
    </row>
    <row r="107" spans="1:5" x14ac:dyDescent="0.25">
      <c r="A107">
        <v>106</v>
      </c>
      <c r="B107" t="s">
        <v>171</v>
      </c>
      <c r="C107">
        <v>46</v>
      </c>
    </row>
    <row r="108" spans="1:5" x14ac:dyDescent="0.25">
      <c r="A108">
        <v>107</v>
      </c>
      <c r="B108" t="s">
        <v>172</v>
      </c>
      <c r="C108">
        <v>29</v>
      </c>
    </row>
    <row r="109" spans="1:5" x14ac:dyDescent="0.25">
      <c r="A109">
        <v>108</v>
      </c>
      <c r="B109" t="s">
        <v>173</v>
      </c>
      <c r="C109">
        <v>42</v>
      </c>
    </row>
    <row r="110" spans="1:5" x14ac:dyDescent="0.25">
      <c r="A110">
        <v>109</v>
      </c>
      <c r="B110" t="s">
        <v>176</v>
      </c>
      <c r="C110">
        <v>42</v>
      </c>
    </row>
    <row r="111" spans="1:5" x14ac:dyDescent="0.25">
      <c r="A111">
        <v>110</v>
      </c>
      <c r="B111" t="s">
        <v>177</v>
      </c>
      <c r="C111">
        <v>46</v>
      </c>
    </row>
    <row r="112" spans="1:5" x14ac:dyDescent="0.25">
      <c r="A112">
        <v>111</v>
      </c>
      <c r="B112" t="s">
        <v>178</v>
      </c>
      <c r="C112">
        <v>43</v>
      </c>
    </row>
    <row r="113" spans="1:4" x14ac:dyDescent="0.25">
      <c r="A113">
        <v>112</v>
      </c>
      <c r="B113" t="s">
        <v>195</v>
      </c>
      <c r="C113">
        <v>37</v>
      </c>
    </row>
    <row r="114" spans="1:4" x14ac:dyDescent="0.25">
      <c r="A114">
        <v>113</v>
      </c>
      <c r="B114" t="s">
        <v>196</v>
      </c>
      <c r="C114">
        <v>11</v>
      </c>
      <c r="D114" t="s">
        <v>197</v>
      </c>
    </row>
    <row r="115" spans="1:4" x14ac:dyDescent="0.25">
      <c r="A115">
        <v>114</v>
      </c>
      <c r="B115" t="s">
        <v>198</v>
      </c>
      <c r="C115">
        <v>48</v>
      </c>
    </row>
    <row r="116" spans="1:4" x14ac:dyDescent="0.25">
      <c r="A116">
        <v>115</v>
      </c>
      <c r="B116" t="s">
        <v>201</v>
      </c>
      <c r="C116">
        <v>48</v>
      </c>
    </row>
    <row r="117" spans="1:4" x14ac:dyDescent="0.25">
      <c r="A117">
        <v>116</v>
      </c>
      <c r="B117" t="s">
        <v>202</v>
      </c>
      <c r="C117">
        <v>48</v>
      </c>
    </row>
    <row r="118" spans="1:4" x14ac:dyDescent="0.25">
      <c r="A118">
        <v>117</v>
      </c>
      <c r="B118" t="s">
        <v>203</v>
      </c>
      <c r="C118">
        <v>48</v>
      </c>
    </row>
    <row r="119" spans="1:4" x14ac:dyDescent="0.25">
      <c r="A119">
        <v>118</v>
      </c>
      <c r="B119" t="s">
        <v>204</v>
      </c>
      <c r="C119">
        <v>48</v>
      </c>
    </row>
    <row r="120" spans="1:4" x14ac:dyDescent="0.25">
      <c r="A120">
        <v>119</v>
      </c>
      <c r="B120" t="s">
        <v>205</v>
      </c>
      <c r="C120">
        <v>48</v>
      </c>
    </row>
    <row r="121" spans="1:4" x14ac:dyDescent="0.25">
      <c r="A121">
        <v>120</v>
      </c>
      <c r="B121" t="s">
        <v>206</v>
      </c>
      <c r="C121">
        <v>48</v>
      </c>
    </row>
    <row r="122" spans="1:4" x14ac:dyDescent="0.25">
      <c r="A122">
        <v>121</v>
      </c>
      <c r="B122" t="s">
        <v>207</v>
      </c>
      <c r="C122">
        <v>48</v>
      </c>
    </row>
    <row r="123" spans="1:4" x14ac:dyDescent="0.25">
      <c r="A123">
        <v>122</v>
      </c>
      <c r="B123" t="s">
        <v>208</v>
      </c>
      <c r="C123">
        <v>48</v>
      </c>
    </row>
    <row r="124" spans="1:4" x14ac:dyDescent="0.25">
      <c r="A124">
        <v>123</v>
      </c>
      <c r="B124" t="s">
        <v>209</v>
      </c>
      <c r="C124">
        <v>48</v>
      </c>
    </row>
    <row r="125" spans="1:4" x14ac:dyDescent="0.25">
      <c r="A125">
        <v>124</v>
      </c>
      <c r="B125" t="s">
        <v>210</v>
      </c>
      <c r="C125">
        <v>48</v>
      </c>
    </row>
    <row r="126" spans="1:4" x14ac:dyDescent="0.25">
      <c r="A126">
        <v>125</v>
      </c>
      <c r="B126" t="s">
        <v>219</v>
      </c>
      <c r="C126">
        <v>7</v>
      </c>
    </row>
    <row r="127" spans="1:4" x14ac:dyDescent="0.25">
      <c r="A127">
        <v>126</v>
      </c>
      <c r="B127" t="s">
        <v>220</v>
      </c>
      <c r="C127">
        <v>7</v>
      </c>
    </row>
    <row r="128" spans="1:4" x14ac:dyDescent="0.25">
      <c r="A128">
        <v>127</v>
      </c>
      <c r="B128" t="s">
        <v>222</v>
      </c>
      <c r="C128">
        <v>7</v>
      </c>
    </row>
    <row r="129" spans="1:2" x14ac:dyDescent="0.25">
      <c r="A129">
        <v>128</v>
      </c>
      <c r="B129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10" workbookViewId="0">
      <selection activeCell="C13" sqref="C13:C26"/>
    </sheetView>
  </sheetViews>
  <sheetFormatPr defaultRowHeight="15" x14ac:dyDescent="0.25"/>
  <cols>
    <col min="1" max="1" width="16.28515625" customWidth="1"/>
    <col min="2" max="2" width="20.42578125" customWidth="1"/>
    <col min="3" max="3" width="18.5703125" customWidth="1"/>
    <col min="4" max="4" width="16.7109375" customWidth="1"/>
    <col min="7" max="7" width="17.5703125" customWidth="1"/>
    <col min="8" max="8" width="26.5703125" customWidth="1"/>
  </cols>
  <sheetData>
    <row r="1" spans="1:8" x14ac:dyDescent="0.25">
      <c r="A1" t="s">
        <v>103</v>
      </c>
      <c r="B1" t="s">
        <v>104</v>
      </c>
      <c r="C1" t="s">
        <v>106</v>
      </c>
      <c r="G1" t="s">
        <v>107</v>
      </c>
      <c r="H1" t="s">
        <v>108</v>
      </c>
    </row>
    <row r="2" spans="1:8" x14ac:dyDescent="0.25">
      <c r="A2">
        <v>11</v>
      </c>
      <c r="B2" t="s">
        <v>105</v>
      </c>
      <c r="C2">
        <v>1</v>
      </c>
      <c r="G2">
        <v>1</v>
      </c>
      <c r="H2" t="s">
        <v>109</v>
      </c>
    </row>
    <row r="3" spans="1:8" x14ac:dyDescent="0.25">
      <c r="A3">
        <v>12</v>
      </c>
      <c r="B3" t="s">
        <v>115</v>
      </c>
      <c r="C3">
        <v>1</v>
      </c>
      <c r="G3">
        <v>2</v>
      </c>
      <c r="H3" t="s">
        <v>110</v>
      </c>
    </row>
    <row r="4" spans="1:8" x14ac:dyDescent="0.25">
      <c r="A4">
        <v>13</v>
      </c>
      <c r="B4" t="s">
        <v>116</v>
      </c>
      <c r="C4">
        <v>1</v>
      </c>
      <c r="G4">
        <v>3</v>
      </c>
      <c r="H4" t="s">
        <v>137</v>
      </c>
    </row>
    <row r="5" spans="1:8" x14ac:dyDescent="0.25">
      <c r="A5">
        <v>14</v>
      </c>
      <c r="B5" t="s">
        <v>5</v>
      </c>
      <c r="C5">
        <v>1</v>
      </c>
      <c r="G5">
        <v>4</v>
      </c>
      <c r="H5" t="s">
        <v>112</v>
      </c>
    </row>
    <row r="6" spans="1:8" x14ac:dyDescent="0.25">
      <c r="A6">
        <v>15</v>
      </c>
      <c r="B6" t="s">
        <v>117</v>
      </c>
      <c r="C6">
        <v>1</v>
      </c>
      <c r="G6">
        <v>5</v>
      </c>
      <c r="H6" t="s">
        <v>113</v>
      </c>
    </row>
    <row r="7" spans="1:8" x14ac:dyDescent="0.25">
      <c r="A7">
        <v>16</v>
      </c>
      <c r="B7" t="s">
        <v>118</v>
      </c>
      <c r="C7">
        <v>9</v>
      </c>
      <c r="G7">
        <v>6</v>
      </c>
      <c r="H7" t="s">
        <v>114</v>
      </c>
    </row>
    <row r="8" spans="1:8" x14ac:dyDescent="0.25">
      <c r="A8">
        <v>17</v>
      </c>
      <c r="B8" t="s">
        <v>119</v>
      </c>
      <c r="C8">
        <v>9</v>
      </c>
      <c r="G8">
        <v>7</v>
      </c>
      <c r="H8" t="s">
        <v>131</v>
      </c>
    </row>
    <row r="9" spans="1:8" x14ac:dyDescent="0.25">
      <c r="A9">
        <v>18</v>
      </c>
      <c r="B9" t="s">
        <v>120</v>
      </c>
      <c r="C9">
        <v>1</v>
      </c>
      <c r="G9">
        <v>8</v>
      </c>
      <c r="H9" t="s">
        <v>135</v>
      </c>
    </row>
    <row r="10" spans="1:8" x14ac:dyDescent="0.25">
      <c r="A10">
        <v>19</v>
      </c>
      <c r="B10" t="s">
        <v>121</v>
      </c>
      <c r="C10">
        <v>2</v>
      </c>
      <c r="G10">
        <v>9</v>
      </c>
      <c r="H10" t="s">
        <v>141</v>
      </c>
    </row>
    <row r="11" spans="1:8" x14ac:dyDescent="0.25">
      <c r="A11">
        <v>20</v>
      </c>
      <c r="B11" t="s">
        <v>122</v>
      </c>
      <c r="C11">
        <v>2</v>
      </c>
      <c r="G11">
        <v>10</v>
      </c>
      <c r="H11" t="s">
        <v>134</v>
      </c>
    </row>
    <row r="12" spans="1:8" x14ac:dyDescent="0.25">
      <c r="A12">
        <v>21</v>
      </c>
      <c r="B12" t="s">
        <v>123</v>
      </c>
      <c r="C12">
        <v>2</v>
      </c>
      <c r="G12">
        <v>39</v>
      </c>
      <c r="H12" t="s">
        <v>165</v>
      </c>
    </row>
    <row r="13" spans="1:8" x14ac:dyDescent="0.25">
      <c r="A13">
        <v>22</v>
      </c>
      <c r="B13" t="s">
        <v>124</v>
      </c>
      <c r="C13">
        <v>4</v>
      </c>
      <c r="G13">
        <v>41</v>
      </c>
      <c r="H13" t="s">
        <v>174</v>
      </c>
    </row>
    <row r="14" spans="1:8" x14ac:dyDescent="0.25">
      <c r="A14">
        <v>23</v>
      </c>
      <c r="B14" t="s">
        <v>125</v>
      </c>
      <c r="C14">
        <v>4</v>
      </c>
      <c r="G14">
        <v>43</v>
      </c>
      <c r="H14" t="s">
        <v>179</v>
      </c>
    </row>
    <row r="15" spans="1:8" x14ac:dyDescent="0.25">
      <c r="A15">
        <v>24</v>
      </c>
      <c r="B15" t="s">
        <v>126</v>
      </c>
      <c r="C15">
        <v>4</v>
      </c>
      <c r="G15">
        <v>47</v>
      </c>
      <c r="H15" t="s">
        <v>199</v>
      </c>
    </row>
    <row r="16" spans="1:8" x14ac:dyDescent="0.25">
      <c r="A16">
        <v>25</v>
      </c>
      <c r="B16" t="s">
        <v>127</v>
      </c>
      <c r="C16">
        <v>4</v>
      </c>
    </row>
    <row r="17" spans="1:3" x14ac:dyDescent="0.25">
      <c r="A17">
        <v>26</v>
      </c>
      <c r="B17" t="s">
        <v>128</v>
      </c>
      <c r="C17">
        <v>4</v>
      </c>
    </row>
    <row r="18" spans="1:3" x14ac:dyDescent="0.25">
      <c r="A18">
        <v>27</v>
      </c>
      <c r="B18" t="s">
        <v>129</v>
      </c>
      <c r="C18">
        <v>4</v>
      </c>
    </row>
    <row r="19" spans="1:3" x14ac:dyDescent="0.25">
      <c r="A19">
        <v>28</v>
      </c>
      <c r="B19" t="s">
        <v>143</v>
      </c>
      <c r="C19">
        <v>6</v>
      </c>
    </row>
    <row r="20" spans="1:3" x14ac:dyDescent="0.25">
      <c r="A20">
        <v>29</v>
      </c>
      <c r="B20" t="s">
        <v>130</v>
      </c>
      <c r="C20">
        <v>6</v>
      </c>
    </row>
    <row r="21" spans="1:3" x14ac:dyDescent="0.25">
      <c r="A21">
        <v>30</v>
      </c>
      <c r="B21" t="s">
        <v>132</v>
      </c>
      <c r="C21">
        <v>7</v>
      </c>
    </row>
    <row r="22" spans="1:3" x14ac:dyDescent="0.25">
      <c r="A22">
        <v>31</v>
      </c>
      <c r="B22" t="s">
        <v>133</v>
      </c>
      <c r="C22">
        <v>7</v>
      </c>
    </row>
    <row r="23" spans="1:3" x14ac:dyDescent="0.25">
      <c r="A23">
        <v>32</v>
      </c>
      <c r="B23" t="s">
        <v>136</v>
      </c>
      <c r="C23">
        <v>8</v>
      </c>
    </row>
    <row r="24" spans="1:3" x14ac:dyDescent="0.25">
      <c r="A24">
        <v>33</v>
      </c>
      <c r="B24" t="s">
        <v>111</v>
      </c>
      <c r="C24">
        <v>3</v>
      </c>
    </row>
    <row r="25" spans="1:3" x14ac:dyDescent="0.25">
      <c r="A25">
        <v>34</v>
      </c>
      <c r="B25" t="s">
        <v>138</v>
      </c>
      <c r="C25">
        <v>3</v>
      </c>
    </row>
    <row r="26" spans="1:3" x14ac:dyDescent="0.25">
      <c r="A26">
        <v>35</v>
      </c>
      <c r="B26" t="s">
        <v>139</v>
      </c>
      <c r="C26">
        <v>5</v>
      </c>
    </row>
    <row r="27" spans="1:3" x14ac:dyDescent="0.25">
      <c r="A27">
        <v>36</v>
      </c>
      <c r="B27" t="s">
        <v>140</v>
      </c>
      <c r="C27">
        <v>5</v>
      </c>
    </row>
    <row r="28" spans="1:3" x14ac:dyDescent="0.25">
      <c r="A28">
        <v>37</v>
      </c>
      <c r="B28" t="s">
        <v>142</v>
      </c>
      <c r="C28">
        <v>1</v>
      </c>
    </row>
    <row r="29" spans="1:3" x14ac:dyDescent="0.25">
      <c r="A29">
        <v>38</v>
      </c>
      <c r="B29" t="s">
        <v>12</v>
      </c>
      <c r="C29">
        <v>4</v>
      </c>
    </row>
    <row r="30" spans="1:3" x14ac:dyDescent="0.25">
      <c r="A30">
        <v>40</v>
      </c>
      <c r="B30" t="s">
        <v>170</v>
      </c>
      <c r="C30">
        <v>4</v>
      </c>
    </row>
    <row r="31" spans="1:3" x14ac:dyDescent="0.25">
      <c r="A31">
        <v>42</v>
      </c>
      <c r="B31" t="s">
        <v>175</v>
      </c>
      <c r="C31">
        <v>41</v>
      </c>
    </row>
    <row r="32" spans="1:3" x14ac:dyDescent="0.25">
      <c r="A32">
        <v>44</v>
      </c>
      <c r="B32" t="s">
        <v>192</v>
      </c>
      <c r="C32">
        <v>4</v>
      </c>
    </row>
    <row r="33" spans="1:3" x14ac:dyDescent="0.25">
      <c r="A33">
        <v>45</v>
      </c>
      <c r="B33" t="s">
        <v>193</v>
      </c>
      <c r="C33">
        <v>4</v>
      </c>
    </row>
    <row r="34" spans="1:3" x14ac:dyDescent="0.25">
      <c r="A34">
        <v>46</v>
      </c>
      <c r="B34" t="s">
        <v>194</v>
      </c>
      <c r="C34">
        <v>27</v>
      </c>
    </row>
    <row r="35" spans="1:3" x14ac:dyDescent="0.25">
      <c r="A35">
        <v>48</v>
      </c>
      <c r="B35" t="s">
        <v>200</v>
      </c>
      <c r="C35">
        <v>47</v>
      </c>
    </row>
    <row r="36" spans="1:3" x14ac:dyDescent="0.25">
      <c r="A36">
        <v>49</v>
      </c>
      <c r="B36" t="s">
        <v>221</v>
      </c>
    </row>
    <row r="37" spans="1:3" x14ac:dyDescent="0.25">
      <c r="A37">
        <v>50</v>
      </c>
      <c r="B37" t="s">
        <v>224</v>
      </c>
    </row>
    <row r="38" spans="1:3" x14ac:dyDescent="0.25">
      <c r="A38">
        <v>51</v>
      </c>
      <c r="B38" t="s">
        <v>218</v>
      </c>
      <c r="C38">
        <v>50</v>
      </c>
    </row>
    <row r="39" spans="1:3" x14ac:dyDescent="0.25">
      <c r="A39">
        <v>52</v>
      </c>
      <c r="B39" t="s">
        <v>225</v>
      </c>
      <c r="C39">
        <v>50</v>
      </c>
    </row>
    <row r="40" spans="1:3" x14ac:dyDescent="0.25">
      <c r="A40">
        <v>53</v>
      </c>
      <c r="B40" t="s">
        <v>226</v>
      </c>
      <c r="C40">
        <v>50</v>
      </c>
    </row>
    <row r="41" spans="1:3" x14ac:dyDescent="0.25">
      <c r="A41">
        <v>54</v>
      </c>
      <c r="B41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M13" sqref="M13"/>
    </sheetView>
  </sheetViews>
  <sheetFormatPr defaultRowHeight="15" x14ac:dyDescent="0.25"/>
  <cols>
    <col min="1" max="1" width="12.140625" customWidth="1"/>
    <col min="2" max="2" width="14.85546875" customWidth="1"/>
    <col min="3" max="3" width="14.42578125" customWidth="1"/>
  </cols>
  <sheetData>
    <row r="1" spans="1:2" x14ac:dyDescent="0.25">
      <c r="A1" t="s">
        <v>164</v>
      </c>
      <c r="B1" t="s">
        <v>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2</v>
      </c>
      <c r="B4">
        <v>2</v>
      </c>
    </row>
    <row r="5" spans="1:2" x14ac:dyDescent="0.25">
      <c r="A5">
        <v>3</v>
      </c>
      <c r="B5">
        <v>1</v>
      </c>
    </row>
    <row r="6" spans="1:2" x14ac:dyDescent="0.25">
      <c r="A6">
        <v>3</v>
      </c>
      <c r="B6">
        <v>2</v>
      </c>
    </row>
    <row r="7" spans="1:2" x14ac:dyDescent="0.25">
      <c r="A7">
        <v>4</v>
      </c>
      <c r="B7">
        <v>1</v>
      </c>
    </row>
    <row r="8" spans="1:2" x14ac:dyDescent="0.25">
      <c r="A8">
        <v>4</v>
      </c>
      <c r="B8">
        <v>2</v>
      </c>
    </row>
    <row r="9" spans="1:2" x14ac:dyDescent="0.25">
      <c r="A9">
        <v>4</v>
      </c>
      <c r="B9">
        <v>3</v>
      </c>
    </row>
    <row r="10" spans="1:2" x14ac:dyDescent="0.25">
      <c r="A10">
        <v>5</v>
      </c>
      <c r="B10">
        <v>1</v>
      </c>
    </row>
    <row r="11" spans="1:2" x14ac:dyDescent="0.25">
      <c r="A11">
        <v>5</v>
      </c>
      <c r="B11">
        <v>2</v>
      </c>
    </row>
    <row r="12" spans="1:2" x14ac:dyDescent="0.25">
      <c r="A12">
        <v>5</v>
      </c>
      <c r="B12">
        <v>3</v>
      </c>
    </row>
    <row r="13" spans="1:2" x14ac:dyDescent="0.25">
      <c r="A13">
        <v>6</v>
      </c>
      <c r="B13">
        <v>1</v>
      </c>
    </row>
    <row r="14" spans="1:2" x14ac:dyDescent="0.25">
      <c r="A14">
        <v>6</v>
      </c>
      <c r="B14">
        <v>3</v>
      </c>
    </row>
    <row r="15" spans="1:2" x14ac:dyDescent="0.25">
      <c r="A15">
        <v>7</v>
      </c>
      <c r="B15">
        <v>1</v>
      </c>
    </row>
    <row r="16" spans="1:2" x14ac:dyDescent="0.25">
      <c r="A16">
        <v>7</v>
      </c>
      <c r="B16">
        <v>2</v>
      </c>
    </row>
    <row r="17" spans="1:2" x14ac:dyDescent="0.25">
      <c r="A17">
        <v>2</v>
      </c>
      <c r="B17">
        <v>20</v>
      </c>
    </row>
    <row r="18" spans="1:2" x14ac:dyDescent="0.25">
      <c r="A18">
        <v>3</v>
      </c>
      <c r="B18">
        <v>17</v>
      </c>
    </row>
    <row r="19" spans="1:2" x14ac:dyDescent="0.25">
      <c r="A19">
        <v>4</v>
      </c>
      <c r="B19">
        <v>34</v>
      </c>
    </row>
    <row r="20" spans="1:2" x14ac:dyDescent="0.25">
      <c r="A20">
        <v>5</v>
      </c>
      <c r="B20">
        <v>46</v>
      </c>
    </row>
    <row r="21" spans="1:2" x14ac:dyDescent="0.25">
      <c r="A21">
        <v>6</v>
      </c>
      <c r="B2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activeCell="B3" sqref="B3"/>
    </sheetView>
  </sheetViews>
  <sheetFormatPr defaultRowHeight="15" x14ac:dyDescent="0.25"/>
  <cols>
    <col min="2" max="2" width="11.42578125" customWidth="1"/>
    <col min="4" max="4" width="11.28515625" customWidth="1"/>
  </cols>
  <sheetData>
    <row r="1" spans="1:4" x14ac:dyDescent="0.25">
      <c r="A1" t="s">
        <v>183</v>
      </c>
      <c r="B1" t="s">
        <v>180</v>
      </c>
      <c r="C1" t="s">
        <v>182</v>
      </c>
      <c r="D1" t="s">
        <v>181</v>
      </c>
    </row>
    <row r="2" spans="1:4" x14ac:dyDescent="0.25">
      <c r="A2">
        <v>1</v>
      </c>
      <c r="B2" s="1">
        <v>44197</v>
      </c>
      <c r="C2" t="s">
        <v>184</v>
      </c>
      <c r="D2" t="s">
        <v>186</v>
      </c>
    </row>
    <row r="3" spans="1:4" x14ac:dyDescent="0.25">
      <c r="A3">
        <v>2</v>
      </c>
      <c r="B3" s="1">
        <v>44198</v>
      </c>
      <c r="C3" t="s">
        <v>184</v>
      </c>
      <c r="D3" t="s">
        <v>186</v>
      </c>
    </row>
    <row r="4" spans="1:4" x14ac:dyDescent="0.25">
      <c r="A4">
        <v>3</v>
      </c>
      <c r="B4" s="1">
        <v>44199</v>
      </c>
      <c r="C4" t="s">
        <v>184</v>
      </c>
      <c r="D4" t="s">
        <v>186</v>
      </c>
    </row>
    <row r="5" spans="1:4" x14ac:dyDescent="0.25">
      <c r="A5">
        <v>4</v>
      </c>
      <c r="B5" s="1">
        <v>44200</v>
      </c>
      <c r="C5" t="s">
        <v>184</v>
      </c>
      <c r="D5" t="s">
        <v>186</v>
      </c>
    </row>
    <row r="6" spans="1:4" x14ac:dyDescent="0.25">
      <c r="A6">
        <v>5</v>
      </c>
      <c r="B6" s="1">
        <v>44201</v>
      </c>
      <c r="C6" t="s">
        <v>184</v>
      </c>
      <c r="D6" t="s">
        <v>186</v>
      </c>
    </row>
    <row r="7" spans="1:4" x14ac:dyDescent="0.25">
      <c r="A7">
        <v>6</v>
      </c>
      <c r="B7" s="1">
        <v>44202</v>
      </c>
      <c r="C7" t="s">
        <v>184</v>
      </c>
      <c r="D7" t="s">
        <v>186</v>
      </c>
    </row>
    <row r="8" spans="1:4" x14ac:dyDescent="0.25">
      <c r="A8">
        <v>7</v>
      </c>
      <c r="B8" s="1">
        <v>44203</v>
      </c>
      <c r="C8" t="s">
        <v>184</v>
      </c>
      <c r="D8" t="s">
        <v>186</v>
      </c>
    </row>
    <row r="9" spans="1:4" x14ac:dyDescent="0.25">
      <c r="A9">
        <v>8</v>
      </c>
      <c r="B9" s="1">
        <v>44204</v>
      </c>
      <c r="C9" t="s">
        <v>184</v>
      </c>
      <c r="D9" t="s">
        <v>186</v>
      </c>
    </row>
    <row r="10" spans="1:4" x14ac:dyDescent="0.25">
      <c r="A10">
        <v>9</v>
      </c>
      <c r="B10" s="1">
        <v>44205</v>
      </c>
      <c r="C10" t="s">
        <v>184</v>
      </c>
      <c r="D10" t="s">
        <v>186</v>
      </c>
    </row>
    <row r="11" spans="1:4" x14ac:dyDescent="0.25">
      <c r="A11">
        <v>10</v>
      </c>
      <c r="B11" s="1">
        <v>44206</v>
      </c>
      <c r="C11" t="s">
        <v>184</v>
      </c>
      <c r="D11" t="s">
        <v>186</v>
      </c>
    </row>
    <row r="12" spans="1:4" x14ac:dyDescent="0.25">
      <c r="A12">
        <v>11</v>
      </c>
      <c r="B12" s="1">
        <v>44207</v>
      </c>
      <c r="C12" t="s">
        <v>184</v>
      </c>
      <c r="D12" t="s">
        <v>186</v>
      </c>
    </row>
    <row r="13" spans="1:4" x14ac:dyDescent="0.25">
      <c r="A13">
        <v>12</v>
      </c>
      <c r="B13" s="1">
        <v>44208</v>
      </c>
      <c r="C13" t="s">
        <v>184</v>
      </c>
      <c r="D13" t="s">
        <v>186</v>
      </c>
    </row>
    <row r="14" spans="1:4" x14ac:dyDescent="0.25">
      <c r="A14">
        <v>13</v>
      </c>
      <c r="B14" s="1">
        <v>44209</v>
      </c>
      <c r="C14" t="s">
        <v>184</v>
      </c>
      <c r="D14" t="s">
        <v>186</v>
      </c>
    </row>
    <row r="15" spans="1:4" x14ac:dyDescent="0.25">
      <c r="A15">
        <v>14</v>
      </c>
      <c r="B15" s="1">
        <v>44210</v>
      </c>
      <c r="C15" t="s">
        <v>184</v>
      </c>
      <c r="D15" t="s">
        <v>186</v>
      </c>
    </row>
    <row r="16" spans="1:4" x14ac:dyDescent="0.25">
      <c r="A16">
        <v>15</v>
      </c>
      <c r="B16" s="1">
        <v>44211</v>
      </c>
      <c r="C16" t="s">
        <v>184</v>
      </c>
      <c r="D16" t="s">
        <v>186</v>
      </c>
    </row>
    <row r="17" spans="1:4" x14ac:dyDescent="0.25">
      <c r="A17">
        <v>16</v>
      </c>
      <c r="B17" s="1">
        <v>44212</v>
      </c>
      <c r="C17" t="s">
        <v>184</v>
      </c>
      <c r="D17" t="s">
        <v>186</v>
      </c>
    </row>
    <row r="18" spans="1:4" x14ac:dyDescent="0.25">
      <c r="A18">
        <v>17</v>
      </c>
      <c r="B18" s="1">
        <v>44213</v>
      </c>
      <c r="C18" t="s">
        <v>184</v>
      </c>
      <c r="D18" t="s">
        <v>186</v>
      </c>
    </row>
    <row r="19" spans="1:4" x14ac:dyDescent="0.25">
      <c r="A19">
        <v>18</v>
      </c>
      <c r="B19" s="1">
        <v>44214</v>
      </c>
      <c r="C19" t="s">
        <v>184</v>
      </c>
      <c r="D19" t="s">
        <v>186</v>
      </c>
    </row>
    <row r="20" spans="1:4" x14ac:dyDescent="0.25">
      <c r="A20">
        <v>19</v>
      </c>
      <c r="B20" s="1">
        <v>44215</v>
      </c>
      <c r="C20" t="s">
        <v>184</v>
      </c>
      <c r="D20" t="s">
        <v>186</v>
      </c>
    </row>
    <row r="21" spans="1:4" x14ac:dyDescent="0.25">
      <c r="A21">
        <v>20</v>
      </c>
      <c r="B21" s="1">
        <v>44216</v>
      </c>
      <c r="C21" t="s">
        <v>184</v>
      </c>
      <c r="D21" t="s">
        <v>186</v>
      </c>
    </row>
    <row r="22" spans="1:4" x14ac:dyDescent="0.25">
      <c r="A22">
        <v>21</v>
      </c>
      <c r="B22" s="1">
        <v>44217</v>
      </c>
      <c r="C22" t="s">
        <v>184</v>
      </c>
      <c r="D22" t="s">
        <v>186</v>
      </c>
    </row>
    <row r="23" spans="1:4" x14ac:dyDescent="0.25">
      <c r="A23">
        <v>22</v>
      </c>
      <c r="B23" s="1">
        <v>44218</v>
      </c>
      <c r="C23" t="s">
        <v>184</v>
      </c>
      <c r="D23" t="s">
        <v>186</v>
      </c>
    </row>
    <row r="24" spans="1:4" x14ac:dyDescent="0.25">
      <c r="A24">
        <v>23</v>
      </c>
      <c r="B24" s="1">
        <v>44219</v>
      </c>
      <c r="C24" t="s">
        <v>184</v>
      </c>
      <c r="D24" t="s">
        <v>186</v>
      </c>
    </row>
    <row r="25" spans="1:4" x14ac:dyDescent="0.25">
      <c r="A25">
        <v>24</v>
      </c>
      <c r="B25" s="1">
        <v>44220</v>
      </c>
      <c r="C25" t="s">
        <v>184</v>
      </c>
      <c r="D25" t="s">
        <v>186</v>
      </c>
    </row>
    <row r="26" spans="1:4" x14ac:dyDescent="0.25">
      <c r="A26">
        <v>25</v>
      </c>
      <c r="B26" s="1">
        <v>44221</v>
      </c>
      <c r="C26" t="s">
        <v>184</v>
      </c>
      <c r="D26" t="s">
        <v>186</v>
      </c>
    </row>
    <row r="27" spans="1:4" x14ac:dyDescent="0.25">
      <c r="A27">
        <v>26</v>
      </c>
      <c r="B27" s="1">
        <v>44222</v>
      </c>
      <c r="C27" t="s">
        <v>184</v>
      </c>
      <c r="D27" t="s">
        <v>186</v>
      </c>
    </row>
    <row r="28" spans="1:4" x14ac:dyDescent="0.25">
      <c r="A28">
        <v>27</v>
      </c>
      <c r="B28" s="1">
        <v>44223</v>
      </c>
      <c r="C28" t="s">
        <v>184</v>
      </c>
      <c r="D28" t="s">
        <v>186</v>
      </c>
    </row>
    <row r="29" spans="1:4" x14ac:dyDescent="0.25">
      <c r="A29">
        <v>28</v>
      </c>
      <c r="B29" s="1">
        <v>44224</v>
      </c>
      <c r="C29" t="s">
        <v>184</v>
      </c>
      <c r="D29" t="s">
        <v>186</v>
      </c>
    </row>
    <row r="30" spans="1:4" x14ac:dyDescent="0.25">
      <c r="A30">
        <v>29</v>
      </c>
      <c r="B30" s="1">
        <v>44225</v>
      </c>
      <c r="C30" t="s">
        <v>184</v>
      </c>
      <c r="D30" t="s">
        <v>186</v>
      </c>
    </row>
    <row r="31" spans="1:4" x14ac:dyDescent="0.25">
      <c r="A31">
        <v>30</v>
      </c>
      <c r="B31" s="1">
        <v>44226</v>
      </c>
      <c r="C31" t="s">
        <v>184</v>
      </c>
      <c r="D31" t="s">
        <v>186</v>
      </c>
    </row>
    <row r="32" spans="1:4" x14ac:dyDescent="0.25">
      <c r="A32">
        <v>31</v>
      </c>
      <c r="B32" s="1">
        <v>44227</v>
      </c>
      <c r="C32" t="s">
        <v>184</v>
      </c>
      <c r="D32" t="s">
        <v>186</v>
      </c>
    </row>
    <row r="33" spans="1:4" x14ac:dyDescent="0.25">
      <c r="A33">
        <v>32</v>
      </c>
      <c r="B33" s="1">
        <v>44228</v>
      </c>
      <c r="C33" t="s">
        <v>184</v>
      </c>
      <c r="D33" t="s">
        <v>185</v>
      </c>
    </row>
    <row r="34" spans="1:4" x14ac:dyDescent="0.25">
      <c r="A34">
        <v>33</v>
      </c>
      <c r="B34" s="1">
        <v>44229</v>
      </c>
      <c r="C34" t="s">
        <v>184</v>
      </c>
      <c r="D34" t="s">
        <v>185</v>
      </c>
    </row>
    <row r="35" spans="1:4" x14ac:dyDescent="0.25">
      <c r="A35">
        <v>34</v>
      </c>
      <c r="B35" s="1">
        <v>44230</v>
      </c>
      <c r="C35" t="s">
        <v>184</v>
      </c>
      <c r="D35" t="s">
        <v>185</v>
      </c>
    </row>
    <row r="36" spans="1:4" x14ac:dyDescent="0.25">
      <c r="A36">
        <v>35</v>
      </c>
      <c r="B36" s="1">
        <v>44231</v>
      </c>
      <c r="C36" t="s">
        <v>184</v>
      </c>
      <c r="D36" t="s">
        <v>185</v>
      </c>
    </row>
    <row r="37" spans="1:4" x14ac:dyDescent="0.25">
      <c r="A37">
        <v>36</v>
      </c>
      <c r="B37" s="1">
        <v>44232</v>
      </c>
      <c r="C37" t="s">
        <v>184</v>
      </c>
      <c r="D37" t="s">
        <v>185</v>
      </c>
    </row>
    <row r="38" spans="1:4" x14ac:dyDescent="0.25">
      <c r="A38">
        <v>37</v>
      </c>
      <c r="B38" s="1">
        <v>44233</v>
      </c>
      <c r="C38" t="s">
        <v>184</v>
      </c>
      <c r="D38" t="s">
        <v>185</v>
      </c>
    </row>
    <row r="39" spans="1:4" x14ac:dyDescent="0.25">
      <c r="A39">
        <v>38</v>
      </c>
      <c r="B39" s="1">
        <v>44234</v>
      </c>
      <c r="C39" t="s">
        <v>184</v>
      </c>
      <c r="D39" t="s">
        <v>185</v>
      </c>
    </row>
    <row r="40" spans="1:4" x14ac:dyDescent="0.25">
      <c r="A40">
        <v>39</v>
      </c>
      <c r="B40" s="1">
        <v>44235</v>
      </c>
      <c r="C40" t="s">
        <v>184</v>
      </c>
      <c r="D40" t="s">
        <v>185</v>
      </c>
    </row>
    <row r="41" spans="1:4" x14ac:dyDescent="0.25">
      <c r="A41">
        <v>40</v>
      </c>
      <c r="B41" s="1">
        <v>44236</v>
      </c>
      <c r="C41" t="s">
        <v>184</v>
      </c>
      <c r="D41" t="s">
        <v>185</v>
      </c>
    </row>
    <row r="42" spans="1:4" x14ac:dyDescent="0.25">
      <c r="A42">
        <v>41</v>
      </c>
      <c r="B42" s="1">
        <v>44237</v>
      </c>
      <c r="C42" t="s">
        <v>184</v>
      </c>
      <c r="D42" t="s">
        <v>185</v>
      </c>
    </row>
    <row r="43" spans="1:4" x14ac:dyDescent="0.25">
      <c r="A43">
        <v>42</v>
      </c>
      <c r="B43" s="1">
        <v>44238</v>
      </c>
      <c r="C43" t="s">
        <v>184</v>
      </c>
      <c r="D43" t="s">
        <v>185</v>
      </c>
    </row>
    <row r="44" spans="1:4" x14ac:dyDescent="0.25">
      <c r="A44">
        <v>43</v>
      </c>
      <c r="B44" s="1">
        <v>44239</v>
      </c>
      <c r="C44" t="s">
        <v>184</v>
      </c>
      <c r="D44" t="s">
        <v>185</v>
      </c>
    </row>
    <row r="45" spans="1:4" x14ac:dyDescent="0.25">
      <c r="A45">
        <v>44</v>
      </c>
      <c r="B45" s="1">
        <v>44240</v>
      </c>
      <c r="C45" t="s">
        <v>184</v>
      </c>
      <c r="D45" t="s">
        <v>185</v>
      </c>
    </row>
    <row r="46" spans="1:4" x14ac:dyDescent="0.25">
      <c r="A46">
        <v>45</v>
      </c>
      <c r="B46" s="1">
        <v>44241</v>
      </c>
      <c r="C46" t="s">
        <v>184</v>
      </c>
      <c r="D46" t="s">
        <v>185</v>
      </c>
    </row>
    <row r="47" spans="1:4" x14ac:dyDescent="0.25">
      <c r="A47">
        <v>46</v>
      </c>
      <c r="B47" s="1">
        <v>44242</v>
      </c>
      <c r="C47" t="s">
        <v>184</v>
      </c>
      <c r="D47" t="s">
        <v>185</v>
      </c>
    </row>
    <row r="48" spans="1:4" x14ac:dyDescent="0.25">
      <c r="A48">
        <v>47</v>
      </c>
      <c r="B48" s="1">
        <v>44243</v>
      </c>
      <c r="C48" t="s">
        <v>184</v>
      </c>
      <c r="D48" t="s">
        <v>185</v>
      </c>
    </row>
    <row r="49" spans="1:4" x14ac:dyDescent="0.25">
      <c r="A49">
        <v>48</v>
      </c>
      <c r="B49" s="1">
        <v>44244</v>
      </c>
      <c r="C49" t="s">
        <v>184</v>
      </c>
      <c r="D49" t="s">
        <v>185</v>
      </c>
    </row>
    <row r="50" spans="1:4" x14ac:dyDescent="0.25">
      <c r="A50">
        <v>49</v>
      </c>
      <c r="B50" s="1">
        <v>44245</v>
      </c>
      <c r="C50" t="s">
        <v>184</v>
      </c>
      <c r="D50" t="s">
        <v>185</v>
      </c>
    </row>
    <row r="51" spans="1:4" x14ac:dyDescent="0.25">
      <c r="A51">
        <v>50</v>
      </c>
      <c r="B51" s="1">
        <v>44246</v>
      </c>
      <c r="C51" t="s">
        <v>184</v>
      </c>
      <c r="D51" t="s">
        <v>185</v>
      </c>
    </row>
    <row r="52" spans="1:4" x14ac:dyDescent="0.25">
      <c r="A52">
        <v>51</v>
      </c>
      <c r="B52" s="1">
        <v>44247</v>
      </c>
      <c r="C52" t="s">
        <v>184</v>
      </c>
      <c r="D52" t="s">
        <v>185</v>
      </c>
    </row>
    <row r="53" spans="1:4" x14ac:dyDescent="0.25">
      <c r="A53">
        <v>52</v>
      </c>
      <c r="B53" s="1">
        <v>44248</v>
      </c>
      <c r="C53" t="s">
        <v>184</v>
      </c>
      <c r="D53" t="s">
        <v>185</v>
      </c>
    </row>
    <row r="54" spans="1:4" x14ac:dyDescent="0.25">
      <c r="A54">
        <v>53</v>
      </c>
      <c r="B54" s="1">
        <v>44249</v>
      </c>
      <c r="C54" t="s">
        <v>184</v>
      </c>
      <c r="D54" t="s">
        <v>185</v>
      </c>
    </row>
    <row r="55" spans="1:4" x14ac:dyDescent="0.25">
      <c r="A55">
        <v>54</v>
      </c>
      <c r="B55" s="1">
        <v>44250</v>
      </c>
      <c r="C55" t="s">
        <v>184</v>
      </c>
      <c r="D55" t="s">
        <v>185</v>
      </c>
    </row>
    <row r="56" spans="1:4" x14ac:dyDescent="0.25">
      <c r="A56">
        <v>55</v>
      </c>
      <c r="B56" s="1">
        <v>44251</v>
      </c>
      <c r="C56" t="s">
        <v>184</v>
      </c>
      <c r="D56" t="s">
        <v>185</v>
      </c>
    </row>
    <row r="57" spans="1:4" x14ac:dyDescent="0.25">
      <c r="A57">
        <v>56</v>
      </c>
      <c r="B57" s="1">
        <v>44252</v>
      </c>
      <c r="C57" t="s">
        <v>184</v>
      </c>
      <c r="D57" t="s">
        <v>185</v>
      </c>
    </row>
    <row r="58" spans="1:4" x14ac:dyDescent="0.25">
      <c r="A58">
        <v>57</v>
      </c>
      <c r="B58" s="1">
        <v>44253</v>
      </c>
      <c r="C58" t="s">
        <v>184</v>
      </c>
      <c r="D58" t="s">
        <v>185</v>
      </c>
    </row>
    <row r="59" spans="1:4" x14ac:dyDescent="0.25">
      <c r="A59">
        <v>58</v>
      </c>
      <c r="B59" s="1">
        <v>44254</v>
      </c>
      <c r="C59" t="s">
        <v>184</v>
      </c>
      <c r="D59" t="s">
        <v>185</v>
      </c>
    </row>
    <row r="60" spans="1:4" x14ac:dyDescent="0.25">
      <c r="A60">
        <v>59</v>
      </c>
      <c r="B60" s="1">
        <v>44255</v>
      </c>
      <c r="C60" t="s">
        <v>184</v>
      </c>
      <c r="D60" t="s">
        <v>185</v>
      </c>
    </row>
    <row r="61" spans="1:4" x14ac:dyDescent="0.25">
      <c r="A61">
        <v>60</v>
      </c>
      <c r="B61" s="1">
        <v>44256</v>
      </c>
      <c r="C61" t="s">
        <v>184</v>
      </c>
      <c r="D61" t="s">
        <v>185</v>
      </c>
    </row>
    <row r="62" spans="1:4" x14ac:dyDescent="0.25">
      <c r="A62">
        <v>61</v>
      </c>
      <c r="B62" s="1">
        <v>44197</v>
      </c>
      <c r="C62" t="s">
        <v>187</v>
      </c>
      <c r="D62" t="s">
        <v>188</v>
      </c>
    </row>
    <row r="63" spans="1:4" x14ac:dyDescent="0.25">
      <c r="A63">
        <v>62</v>
      </c>
      <c r="B63" s="1">
        <v>44198</v>
      </c>
      <c r="C63" t="s">
        <v>187</v>
      </c>
      <c r="D63" t="s">
        <v>188</v>
      </c>
    </row>
    <row r="64" spans="1:4" x14ac:dyDescent="0.25">
      <c r="A64">
        <v>63</v>
      </c>
      <c r="B64" s="1">
        <v>44199</v>
      </c>
      <c r="C64" t="s">
        <v>187</v>
      </c>
      <c r="D64" t="s">
        <v>188</v>
      </c>
    </row>
    <row r="65" spans="1:4" x14ac:dyDescent="0.25">
      <c r="A65">
        <v>64</v>
      </c>
      <c r="B65" s="1">
        <v>44200</v>
      </c>
      <c r="C65" t="s">
        <v>187</v>
      </c>
      <c r="D65" t="s">
        <v>188</v>
      </c>
    </row>
    <row r="66" spans="1:4" x14ac:dyDescent="0.25">
      <c r="A66">
        <v>65</v>
      </c>
      <c r="B66" s="1">
        <v>44201</v>
      </c>
      <c r="C66" t="s">
        <v>187</v>
      </c>
      <c r="D66" t="s">
        <v>188</v>
      </c>
    </row>
    <row r="67" spans="1:4" x14ac:dyDescent="0.25">
      <c r="A67">
        <v>66</v>
      </c>
      <c r="B67" s="1">
        <v>44202</v>
      </c>
      <c r="C67" t="s">
        <v>187</v>
      </c>
      <c r="D67" t="s">
        <v>188</v>
      </c>
    </row>
    <row r="68" spans="1:4" x14ac:dyDescent="0.25">
      <c r="A68">
        <v>67</v>
      </c>
      <c r="B68" s="1">
        <v>44203</v>
      </c>
      <c r="C68" t="s">
        <v>187</v>
      </c>
      <c r="D68" t="s">
        <v>188</v>
      </c>
    </row>
    <row r="69" spans="1:4" x14ac:dyDescent="0.25">
      <c r="A69">
        <v>68</v>
      </c>
      <c r="B69" s="1">
        <v>44204</v>
      </c>
      <c r="C69" t="s">
        <v>187</v>
      </c>
      <c r="D69" t="s">
        <v>188</v>
      </c>
    </row>
    <row r="70" spans="1:4" x14ac:dyDescent="0.25">
      <c r="A70">
        <v>69</v>
      </c>
      <c r="B70" s="1">
        <v>44205</v>
      </c>
      <c r="C70" t="s">
        <v>187</v>
      </c>
      <c r="D70" t="s">
        <v>188</v>
      </c>
    </row>
    <row r="71" spans="1:4" x14ac:dyDescent="0.25">
      <c r="A71">
        <v>70</v>
      </c>
      <c r="B71" s="1">
        <v>44206</v>
      </c>
      <c r="C71" t="s">
        <v>187</v>
      </c>
      <c r="D71" t="s">
        <v>188</v>
      </c>
    </row>
    <row r="72" spans="1:4" x14ac:dyDescent="0.25">
      <c r="A72">
        <v>71</v>
      </c>
      <c r="B72" s="1">
        <v>44207</v>
      </c>
      <c r="C72" t="s">
        <v>187</v>
      </c>
      <c r="D72" t="s">
        <v>188</v>
      </c>
    </row>
    <row r="73" spans="1:4" x14ac:dyDescent="0.25">
      <c r="A73">
        <v>72</v>
      </c>
      <c r="B73" s="1">
        <v>44208</v>
      </c>
      <c r="C73" t="s">
        <v>187</v>
      </c>
      <c r="D73" t="s">
        <v>188</v>
      </c>
    </row>
    <row r="74" spans="1:4" x14ac:dyDescent="0.25">
      <c r="A74">
        <v>73</v>
      </c>
      <c r="B74" s="1">
        <v>44209</v>
      </c>
      <c r="C74" t="s">
        <v>187</v>
      </c>
      <c r="D74" t="s">
        <v>188</v>
      </c>
    </row>
    <row r="75" spans="1:4" x14ac:dyDescent="0.25">
      <c r="A75">
        <v>74</v>
      </c>
      <c r="B75" s="1">
        <v>44210</v>
      </c>
      <c r="C75" t="s">
        <v>187</v>
      </c>
      <c r="D75" t="s">
        <v>188</v>
      </c>
    </row>
    <row r="76" spans="1:4" x14ac:dyDescent="0.25">
      <c r="A76">
        <v>75</v>
      </c>
      <c r="B76" s="1">
        <v>44211</v>
      </c>
      <c r="C76" t="s">
        <v>187</v>
      </c>
      <c r="D76" t="s">
        <v>188</v>
      </c>
    </row>
    <row r="77" spans="1:4" x14ac:dyDescent="0.25">
      <c r="A77">
        <v>76</v>
      </c>
      <c r="B77" s="1">
        <v>44212</v>
      </c>
      <c r="C77" t="s">
        <v>187</v>
      </c>
      <c r="D77" t="s">
        <v>188</v>
      </c>
    </row>
    <row r="78" spans="1:4" x14ac:dyDescent="0.25">
      <c r="A78">
        <v>77</v>
      </c>
      <c r="B78" s="1">
        <v>44213</v>
      </c>
      <c r="C78" t="s">
        <v>187</v>
      </c>
      <c r="D78" t="s">
        <v>188</v>
      </c>
    </row>
    <row r="79" spans="1:4" x14ac:dyDescent="0.25">
      <c r="A79">
        <v>78</v>
      </c>
      <c r="B79" s="1">
        <v>44214</v>
      </c>
      <c r="C79" t="s">
        <v>187</v>
      </c>
      <c r="D79" t="s">
        <v>188</v>
      </c>
    </row>
    <row r="80" spans="1:4" x14ac:dyDescent="0.25">
      <c r="A80">
        <v>79</v>
      </c>
      <c r="B80" s="1">
        <v>44215</v>
      </c>
      <c r="C80" t="s">
        <v>187</v>
      </c>
      <c r="D80" t="s">
        <v>188</v>
      </c>
    </row>
    <row r="81" spans="1:4" x14ac:dyDescent="0.25">
      <c r="A81">
        <v>80</v>
      </c>
      <c r="B81" s="1">
        <v>44216</v>
      </c>
      <c r="C81" t="s">
        <v>187</v>
      </c>
      <c r="D81" t="s">
        <v>188</v>
      </c>
    </row>
    <row r="82" spans="1:4" x14ac:dyDescent="0.25">
      <c r="A82">
        <v>81</v>
      </c>
      <c r="B82" s="1">
        <v>44217</v>
      </c>
      <c r="C82" t="s">
        <v>187</v>
      </c>
      <c r="D82" t="s">
        <v>188</v>
      </c>
    </row>
    <row r="83" spans="1:4" x14ac:dyDescent="0.25">
      <c r="A83">
        <v>82</v>
      </c>
      <c r="B83" s="1">
        <v>44218</v>
      </c>
      <c r="C83" t="s">
        <v>187</v>
      </c>
      <c r="D83" t="s">
        <v>188</v>
      </c>
    </row>
    <row r="84" spans="1:4" x14ac:dyDescent="0.25">
      <c r="A84">
        <v>83</v>
      </c>
      <c r="B84" s="1">
        <v>44219</v>
      </c>
      <c r="C84" t="s">
        <v>187</v>
      </c>
      <c r="D84" t="s">
        <v>188</v>
      </c>
    </row>
    <row r="85" spans="1:4" x14ac:dyDescent="0.25">
      <c r="A85">
        <v>84</v>
      </c>
      <c r="B85" s="1">
        <v>44220</v>
      </c>
      <c r="C85" t="s">
        <v>187</v>
      </c>
      <c r="D85" t="s">
        <v>188</v>
      </c>
    </row>
    <row r="86" spans="1:4" x14ac:dyDescent="0.25">
      <c r="A86">
        <v>85</v>
      </c>
      <c r="B86" s="1">
        <v>44221</v>
      </c>
      <c r="C86" t="s">
        <v>187</v>
      </c>
      <c r="D86" t="s">
        <v>188</v>
      </c>
    </row>
    <row r="87" spans="1:4" x14ac:dyDescent="0.25">
      <c r="A87">
        <v>86</v>
      </c>
      <c r="B87" s="1">
        <v>44222</v>
      </c>
      <c r="C87" t="s">
        <v>187</v>
      </c>
      <c r="D87" t="s">
        <v>188</v>
      </c>
    </row>
    <row r="88" spans="1:4" x14ac:dyDescent="0.25">
      <c r="A88">
        <v>87</v>
      </c>
      <c r="B88" s="1">
        <v>44223</v>
      </c>
      <c r="C88" t="s">
        <v>187</v>
      </c>
      <c r="D88" t="s">
        <v>188</v>
      </c>
    </row>
    <row r="89" spans="1:4" x14ac:dyDescent="0.25">
      <c r="A89">
        <v>88</v>
      </c>
      <c r="B89" s="1">
        <v>44224</v>
      </c>
      <c r="C89" t="s">
        <v>187</v>
      </c>
      <c r="D89" t="s">
        <v>188</v>
      </c>
    </row>
    <row r="90" spans="1:4" x14ac:dyDescent="0.25">
      <c r="A90">
        <v>89</v>
      </c>
      <c r="B90" s="1">
        <v>44225</v>
      </c>
      <c r="C90" t="s">
        <v>187</v>
      </c>
      <c r="D90" t="s">
        <v>188</v>
      </c>
    </row>
    <row r="91" spans="1:4" x14ac:dyDescent="0.25">
      <c r="A91">
        <v>90</v>
      </c>
      <c r="B91" s="1">
        <v>44226</v>
      </c>
      <c r="C91" t="s">
        <v>187</v>
      </c>
      <c r="D91" t="s">
        <v>188</v>
      </c>
    </row>
    <row r="92" spans="1:4" x14ac:dyDescent="0.25">
      <c r="A92">
        <v>91</v>
      </c>
      <c r="B92" s="1">
        <v>44227</v>
      </c>
      <c r="C92" t="s">
        <v>187</v>
      </c>
      <c r="D92" t="s">
        <v>188</v>
      </c>
    </row>
    <row r="93" spans="1:4" x14ac:dyDescent="0.25">
      <c r="A93">
        <v>92</v>
      </c>
      <c r="B93" s="1">
        <v>44228</v>
      </c>
      <c r="C93" t="s">
        <v>187</v>
      </c>
      <c r="D93" t="s">
        <v>185</v>
      </c>
    </row>
    <row r="94" spans="1:4" x14ac:dyDescent="0.25">
      <c r="A94">
        <v>93</v>
      </c>
      <c r="B94" s="1">
        <v>44229</v>
      </c>
      <c r="C94" t="s">
        <v>187</v>
      </c>
      <c r="D94" t="s">
        <v>185</v>
      </c>
    </row>
    <row r="95" spans="1:4" x14ac:dyDescent="0.25">
      <c r="A95">
        <v>94</v>
      </c>
      <c r="B95" s="1">
        <v>44230</v>
      </c>
      <c r="C95" t="s">
        <v>187</v>
      </c>
      <c r="D95" t="s">
        <v>185</v>
      </c>
    </row>
    <row r="96" spans="1:4" x14ac:dyDescent="0.25">
      <c r="A96">
        <v>95</v>
      </c>
      <c r="B96" s="1">
        <v>44231</v>
      </c>
      <c r="C96" t="s">
        <v>187</v>
      </c>
      <c r="D96" t="s">
        <v>185</v>
      </c>
    </row>
    <row r="97" spans="1:4" x14ac:dyDescent="0.25">
      <c r="A97">
        <v>96</v>
      </c>
      <c r="B97" s="1">
        <v>44232</v>
      </c>
      <c r="C97" t="s">
        <v>187</v>
      </c>
      <c r="D97" t="s">
        <v>185</v>
      </c>
    </row>
    <row r="98" spans="1:4" x14ac:dyDescent="0.25">
      <c r="A98">
        <v>97</v>
      </c>
      <c r="B98" s="1">
        <v>44233</v>
      </c>
      <c r="C98" t="s">
        <v>187</v>
      </c>
      <c r="D98" t="s">
        <v>185</v>
      </c>
    </row>
    <row r="99" spans="1:4" x14ac:dyDescent="0.25">
      <c r="A99">
        <v>98</v>
      </c>
      <c r="B99" s="1">
        <v>44234</v>
      </c>
      <c r="C99" t="s">
        <v>187</v>
      </c>
      <c r="D99" t="s">
        <v>185</v>
      </c>
    </row>
    <row r="100" spans="1:4" x14ac:dyDescent="0.25">
      <c r="A100">
        <v>99</v>
      </c>
      <c r="B100" s="1">
        <v>44235</v>
      </c>
      <c r="C100" t="s">
        <v>187</v>
      </c>
      <c r="D100" t="s">
        <v>185</v>
      </c>
    </row>
    <row r="101" spans="1:4" x14ac:dyDescent="0.25">
      <c r="A101">
        <v>100</v>
      </c>
      <c r="B101" s="1">
        <v>44236</v>
      </c>
      <c r="C101" t="s">
        <v>187</v>
      </c>
      <c r="D101" t="s">
        <v>185</v>
      </c>
    </row>
    <row r="102" spans="1:4" x14ac:dyDescent="0.25">
      <c r="A102">
        <v>101</v>
      </c>
      <c r="B102" s="1">
        <v>44237</v>
      </c>
      <c r="C102" t="s">
        <v>187</v>
      </c>
      <c r="D102" t="s">
        <v>185</v>
      </c>
    </row>
    <row r="103" spans="1:4" x14ac:dyDescent="0.25">
      <c r="A103">
        <v>102</v>
      </c>
      <c r="B103" s="1">
        <v>44238</v>
      </c>
      <c r="C103" t="s">
        <v>187</v>
      </c>
      <c r="D103" t="s">
        <v>185</v>
      </c>
    </row>
    <row r="104" spans="1:4" x14ac:dyDescent="0.25">
      <c r="A104">
        <v>103</v>
      </c>
      <c r="B104" s="1">
        <v>44239</v>
      </c>
      <c r="C104" t="s">
        <v>187</v>
      </c>
      <c r="D104" t="s">
        <v>185</v>
      </c>
    </row>
    <row r="105" spans="1:4" x14ac:dyDescent="0.25">
      <c r="A105">
        <v>104</v>
      </c>
      <c r="B105" s="1">
        <v>44240</v>
      </c>
      <c r="C105" t="s">
        <v>187</v>
      </c>
      <c r="D105" t="s">
        <v>185</v>
      </c>
    </row>
    <row r="106" spans="1:4" x14ac:dyDescent="0.25">
      <c r="A106">
        <v>105</v>
      </c>
      <c r="B106" s="1">
        <v>44241</v>
      </c>
      <c r="C106" t="s">
        <v>187</v>
      </c>
      <c r="D106" t="s">
        <v>185</v>
      </c>
    </row>
    <row r="107" spans="1:4" x14ac:dyDescent="0.25">
      <c r="A107">
        <v>106</v>
      </c>
      <c r="B107" s="1">
        <v>44242</v>
      </c>
      <c r="C107" t="s">
        <v>187</v>
      </c>
      <c r="D107" t="s">
        <v>185</v>
      </c>
    </row>
    <row r="108" spans="1:4" x14ac:dyDescent="0.25">
      <c r="A108">
        <v>107</v>
      </c>
      <c r="B108" s="1">
        <v>44243</v>
      </c>
      <c r="C108" t="s">
        <v>187</v>
      </c>
      <c r="D108" t="s">
        <v>185</v>
      </c>
    </row>
    <row r="109" spans="1:4" x14ac:dyDescent="0.25">
      <c r="A109">
        <v>108</v>
      </c>
      <c r="B109" s="1">
        <v>44244</v>
      </c>
      <c r="C109" t="s">
        <v>187</v>
      </c>
      <c r="D109" t="s">
        <v>185</v>
      </c>
    </row>
    <row r="110" spans="1:4" x14ac:dyDescent="0.25">
      <c r="A110">
        <v>109</v>
      </c>
      <c r="B110" s="1">
        <v>44245</v>
      </c>
      <c r="C110" t="s">
        <v>187</v>
      </c>
      <c r="D110" t="s">
        <v>185</v>
      </c>
    </row>
    <row r="111" spans="1:4" x14ac:dyDescent="0.25">
      <c r="A111">
        <v>110</v>
      </c>
      <c r="B111" s="1">
        <v>44246</v>
      </c>
      <c r="C111" t="s">
        <v>187</v>
      </c>
      <c r="D111" t="s">
        <v>185</v>
      </c>
    </row>
    <row r="112" spans="1:4" x14ac:dyDescent="0.25">
      <c r="A112">
        <v>111</v>
      </c>
      <c r="B112" s="1">
        <v>44247</v>
      </c>
      <c r="C112" t="s">
        <v>187</v>
      </c>
      <c r="D112" t="s">
        <v>185</v>
      </c>
    </row>
    <row r="113" spans="1:4" x14ac:dyDescent="0.25">
      <c r="A113">
        <v>112</v>
      </c>
      <c r="B113" s="1">
        <v>44248</v>
      </c>
      <c r="C113" t="s">
        <v>187</v>
      </c>
      <c r="D113" t="s">
        <v>185</v>
      </c>
    </row>
    <row r="114" spans="1:4" x14ac:dyDescent="0.25">
      <c r="A114">
        <v>113</v>
      </c>
      <c r="B114" s="1">
        <v>44249</v>
      </c>
      <c r="C114" t="s">
        <v>187</v>
      </c>
      <c r="D114" t="s">
        <v>185</v>
      </c>
    </row>
    <row r="115" spans="1:4" x14ac:dyDescent="0.25">
      <c r="A115">
        <v>114</v>
      </c>
      <c r="B115" s="1">
        <v>44250</v>
      </c>
      <c r="C115" t="s">
        <v>187</v>
      </c>
      <c r="D115" t="s">
        <v>185</v>
      </c>
    </row>
    <row r="116" spans="1:4" x14ac:dyDescent="0.25">
      <c r="A116">
        <v>115</v>
      </c>
      <c r="B116" s="1">
        <v>44251</v>
      </c>
      <c r="C116" t="s">
        <v>187</v>
      </c>
      <c r="D116" t="s">
        <v>185</v>
      </c>
    </row>
    <row r="117" spans="1:4" x14ac:dyDescent="0.25">
      <c r="A117">
        <v>116</v>
      </c>
      <c r="B117" s="1">
        <v>44252</v>
      </c>
      <c r="C117" t="s">
        <v>187</v>
      </c>
      <c r="D117" t="s">
        <v>185</v>
      </c>
    </row>
    <row r="118" spans="1:4" x14ac:dyDescent="0.25">
      <c r="A118">
        <v>117</v>
      </c>
      <c r="B118" s="1">
        <v>44253</v>
      </c>
      <c r="C118" t="s">
        <v>187</v>
      </c>
      <c r="D118" t="s">
        <v>185</v>
      </c>
    </row>
    <row r="119" spans="1:4" x14ac:dyDescent="0.25">
      <c r="A119">
        <v>118</v>
      </c>
      <c r="B119" s="1">
        <v>44254</v>
      </c>
      <c r="C119" t="s">
        <v>187</v>
      </c>
      <c r="D119" t="s">
        <v>185</v>
      </c>
    </row>
    <row r="120" spans="1:4" x14ac:dyDescent="0.25">
      <c r="A120">
        <v>119</v>
      </c>
      <c r="B120" s="1">
        <v>44255</v>
      </c>
      <c r="C120" t="s">
        <v>187</v>
      </c>
      <c r="D120" t="s">
        <v>185</v>
      </c>
    </row>
    <row r="121" spans="1:4" x14ac:dyDescent="0.25">
      <c r="A121">
        <v>120</v>
      </c>
      <c r="B121" s="1">
        <v>44256</v>
      </c>
      <c r="C121" t="s">
        <v>187</v>
      </c>
      <c r="D121" t="s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10" workbookViewId="0">
      <selection activeCell="D1" sqref="D1:F1"/>
    </sheetView>
  </sheetViews>
  <sheetFormatPr defaultRowHeight="15" x14ac:dyDescent="0.25"/>
  <cols>
    <col min="1" max="1" width="18.7109375" customWidth="1"/>
    <col min="3" max="3" width="11.140625" customWidth="1"/>
    <col min="4" max="4" width="11" customWidth="1"/>
    <col min="6" max="6" width="16.28515625" customWidth="1"/>
  </cols>
  <sheetData>
    <row r="1" spans="1:6" x14ac:dyDescent="0.25">
      <c r="A1" t="s">
        <v>180</v>
      </c>
      <c r="B1" t="s">
        <v>182</v>
      </c>
      <c r="C1" t="s">
        <v>0</v>
      </c>
      <c r="D1" t="s">
        <v>189</v>
      </c>
      <c r="E1" t="s">
        <v>190</v>
      </c>
      <c r="F1" t="s">
        <v>191</v>
      </c>
    </row>
    <row r="2" spans="1:6" x14ac:dyDescent="0.25">
      <c r="A2" s="1">
        <v>44197</v>
      </c>
      <c r="B2" t="s">
        <v>184</v>
      </c>
      <c r="C2">
        <v>11</v>
      </c>
      <c r="D2">
        <v>2000</v>
      </c>
      <c r="E2">
        <v>2245</v>
      </c>
      <c r="F2">
        <f>2245*51</f>
        <v>114495</v>
      </c>
    </row>
    <row r="3" spans="1:6" x14ac:dyDescent="0.25">
      <c r="A3" s="1">
        <v>44197</v>
      </c>
      <c r="B3" t="s">
        <v>184</v>
      </c>
      <c r="C3">
        <v>12</v>
      </c>
      <c r="D3">
        <v>2115</v>
      </c>
      <c r="E3">
        <v>2331</v>
      </c>
      <c r="F3">
        <f>2331*52</f>
        <v>121212</v>
      </c>
    </row>
    <row r="4" spans="1:6" x14ac:dyDescent="0.25">
      <c r="A4" s="1">
        <v>44197</v>
      </c>
      <c r="B4" t="s">
        <v>184</v>
      </c>
      <c r="C4">
        <v>13</v>
      </c>
      <c r="D4">
        <v>1856</v>
      </c>
      <c r="E4">
        <v>1924</v>
      </c>
      <c r="F4">
        <f>1924*45</f>
        <v>86580</v>
      </c>
    </row>
    <row r="5" spans="1:6" x14ac:dyDescent="0.25">
      <c r="A5" s="1">
        <v>44197</v>
      </c>
      <c r="B5" t="s">
        <v>184</v>
      </c>
      <c r="C5">
        <v>14</v>
      </c>
      <c r="D5">
        <v>1400</v>
      </c>
      <c r="E5">
        <v>1500</v>
      </c>
      <c r="F5">
        <f>1500*67</f>
        <v>100500</v>
      </c>
    </row>
    <row r="6" spans="1:6" x14ac:dyDescent="0.25">
      <c r="A6" s="1">
        <v>44197</v>
      </c>
      <c r="B6" t="s">
        <v>184</v>
      </c>
      <c r="C6">
        <v>32</v>
      </c>
      <c r="D6">
        <v>344</v>
      </c>
      <c r="E6">
        <v>356</v>
      </c>
      <c r="F6">
        <f>356*34</f>
        <v>12104</v>
      </c>
    </row>
    <row r="7" spans="1:6" x14ac:dyDescent="0.25">
      <c r="A7" s="1">
        <v>44197</v>
      </c>
      <c r="B7" t="s">
        <v>184</v>
      </c>
      <c r="C7">
        <v>41</v>
      </c>
      <c r="D7">
        <v>489</v>
      </c>
      <c r="E7">
        <v>501</v>
      </c>
      <c r="F7">
        <f>501*34</f>
        <v>17034</v>
      </c>
    </row>
    <row r="8" spans="1:6" x14ac:dyDescent="0.25">
      <c r="A8" s="1">
        <v>44197</v>
      </c>
      <c r="B8" t="s">
        <v>184</v>
      </c>
      <c r="C8">
        <v>51</v>
      </c>
      <c r="D8">
        <v>256</v>
      </c>
      <c r="E8">
        <v>278</v>
      </c>
      <c r="F8">
        <f>278*45</f>
        <v>12510</v>
      </c>
    </row>
    <row r="9" spans="1:6" x14ac:dyDescent="0.25">
      <c r="A9" s="1">
        <v>44197</v>
      </c>
      <c r="B9" t="s">
        <v>184</v>
      </c>
      <c r="C9">
        <v>79</v>
      </c>
      <c r="D9">
        <v>1100</v>
      </c>
      <c r="E9">
        <v>1236</v>
      </c>
      <c r="F9">
        <f>1236*55</f>
        <v>67980</v>
      </c>
    </row>
    <row r="10" spans="1:6" x14ac:dyDescent="0.25">
      <c r="A10" s="1">
        <v>44197</v>
      </c>
      <c r="B10" t="s">
        <v>184</v>
      </c>
      <c r="C10">
        <v>40</v>
      </c>
      <c r="D10">
        <v>756</v>
      </c>
      <c r="E10">
        <v>809</v>
      </c>
      <c r="F10">
        <f>809*30</f>
        <v>24270</v>
      </c>
    </row>
    <row r="11" spans="1:6" x14ac:dyDescent="0.25">
      <c r="A11" s="1">
        <v>44197</v>
      </c>
      <c r="B11" t="s">
        <v>184</v>
      </c>
      <c r="C11">
        <v>111</v>
      </c>
      <c r="D11">
        <v>324</v>
      </c>
      <c r="E11">
        <v>444</v>
      </c>
      <c r="F11">
        <f>444*48</f>
        <v>21312</v>
      </c>
    </row>
    <row r="12" spans="1:6" x14ac:dyDescent="0.25">
      <c r="A12" s="1">
        <v>44197</v>
      </c>
      <c r="B12" t="s">
        <v>184</v>
      </c>
      <c r="C12">
        <v>48</v>
      </c>
      <c r="D12">
        <v>1567</v>
      </c>
      <c r="E12">
        <v>1700</v>
      </c>
      <c r="F12">
        <f>1700*53</f>
        <v>90100</v>
      </c>
    </row>
    <row r="13" spans="1:6" x14ac:dyDescent="0.25">
      <c r="A13" s="1">
        <v>44198</v>
      </c>
      <c r="B13" t="s">
        <v>184</v>
      </c>
      <c r="C13">
        <v>11</v>
      </c>
      <c r="D13">
        <v>2000</v>
      </c>
      <c r="E13">
        <v>2245</v>
      </c>
      <c r="F13">
        <f>2245*51</f>
        <v>114495</v>
      </c>
    </row>
    <row r="14" spans="1:6" x14ac:dyDescent="0.25">
      <c r="A14" s="1">
        <v>44198</v>
      </c>
      <c r="B14" t="s">
        <v>184</v>
      </c>
      <c r="C14">
        <v>12</v>
      </c>
      <c r="D14">
        <v>2115</v>
      </c>
      <c r="E14">
        <v>2331</v>
      </c>
      <c r="F14">
        <f>2331*52</f>
        <v>121212</v>
      </c>
    </row>
    <row r="15" spans="1:6" x14ac:dyDescent="0.25">
      <c r="A15" s="1">
        <v>44198</v>
      </c>
      <c r="B15" t="s">
        <v>184</v>
      </c>
      <c r="C15">
        <v>13</v>
      </c>
      <c r="D15">
        <v>1856</v>
      </c>
      <c r="E15">
        <v>1924</v>
      </c>
      <c r="F15">
        <f>1924*45</f>
        <v>86580</v>
      </c>
    </row>
    <row r="16" spans="1:6" x14ac:dyDescent="0.25">
      <c r="A16" s="1">
        <v>44198</v>
      </c>
      <c r="B16" t="s">
        <v>184</v>
      </c>
      <c r="C16">
        <v>14</v>
      </c>
      <c r="D16">
        <v>1400</v>
      </c>
      <c r="E16">
        <v>1500</v>
      </c>
      <c r="F16">
        <f>1500*67</f>
        <v>100500</v>
      </c>
    </row>
    <row r="17" spans="1:6" x14ac:dyDescent="0.25">
      <c r="A17" s="1">
        <v>44198</v>
      </c>
      <c r="B17" t="s">
        <v>184</v>
      </c>
      <c r="C17">
        <v>32</v>
      </c>
      <c r="D17">
        <v>344</v>
      </c>
      <c r="E17">
        <v>356</v>
      </c>
      <c r="F17">
        <f>356*34</f>
        <v>12104</v>
      </c>
    </row>
    <row r="18" spans="1:6" x14ac:dyDescent="0.25">
      <c r="A18" s="1">
        <v>44198</v>
      </c>
      <c r="B18" t="s">
        <v>184</v>
      </c>
      <c r="C18">
        <v>41</v>
      </c>
      <c r="D18">
        <v>489</v>
      </c>
      <c r="E18">
        <v>501</v>
      </c>
      <c r="F18">
        <f>501*34</f>
        <v>17034</v>
      </c>
    </row>
    <row r="19" spans="1:6" x14ac:dyDescent="0.25">
      <c r="A19" s="1">
        <v>44198</v>
      </c>
      <c r="B19" t="s">
        <v>184</v>
      </c>
      <c r="C19">
        <v>51</v>
      </c>
      <c r="D19">
        <v>256</v>
      </c>
      <c r="E19">
        <v>278</v>
      </c>
      <c r="F19">
        <f>278*45</f>
        <v>12510</v>
      </c>
    </row>
    <row r="20" spans="1:6" x14ac:dyDescent="0.25">
      <c r="A20" s="1">
        <v>44198</v>
      </c>
      <c r="B20" t="s">
        <v>184</v>
      </c>
      <c r="C20">
        <v>79</v>
      </c>
      <c r="D20">
        <v>1100</v>
      </c>
      <c r="E20">
        <v>1236</v>
      </c>
      <c r="F20">
        <f>1236*55</f>
        <v>67980</v>
      </c>
    </row>
    <row r="21" spans="1:6" x14ac:dyDescent="0.25">
      <c r="A21" s="1">
        <v>44198</v>
      </c>
      <c r="B21" t="s">
        <v>184</v>
      </c>
      <c r="C21">
        <v>40</v>
      </c>
      <c r="D21">
        <v>756</v>
      </c>
      <c r="E21">
        <v>809</v>
      </c>
      <c r="F21">
        <f>809*30</f>
        <v>24270</v>
      </c>
    </row>
    <row r="22" spans="1:6" x14ac:dyDescent="0.25">
      <c r="A22" s="1">
        <v>44198</v>
      </c>
      <c r="B22" t="s">
        <v>184</v>
      </c>
      <c r="C22">
        <v>111</v>
      </c>
      <c r="D22">
        <v>324</v>
      </c>
      <c r="E22">
        <v>444</v>
      </c>
      <c r="F22">
        <f>444*48</f>
        <v>21312</v>
      </c>
    </row>
    <row r="23" spans="1:6" x14ac:dyDescent="0.25">
      <c r="A23" s="1">
        <v>44198</v>
      </c>
      <c r="B23" t="s">
        <v>184</v>
      </c>
      <c r="C23">
        <v>48</v>
      </c>
      <c r="D23">
        <v>1567</v>
      </c>
      <c r="E23">
        <v>1700</v>
      </c>
      <c r="F23">
        <f>1700*53</f>
        <v>90100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7" sqref="B17"/>
    </sheetView>
  </sheetViews>
  <sheetFormatPr defaultRowHeight="15" x14ac:dyDescent="0.25"/>
  <cols>
    <col min="1" max="1" width="14.7109375" customWidth="1"/>
    <col min="2" max="2" width="15.85546875" customWidth="1"/>
    <col min="3" max="3" width="13.7109375" customWidth="1"/>
    <col min="4" max="4" width="15.5703125" customWidth="1"/>
    <col min="5" max="5" width="18.28515625" customWidth="1"/>
    <col min="7" max="7" width="12.5703125" customWidth="1"/>
  </cols>
  <sheetData>
    <row r="1" spans="1:2" x14ac:dyDescent="0.25">
      <c r="A1" t="s">
        <v>164</v>
      </c>
      <c r="B1" t="s">
        <v>0</v>
      </c>
    </row>
    <row r="2" spans="1:2" x14ac:dyDescent="0.25">
      <c r="A2">
        <v>1</v>
      </c>
      <c r="B2">
        <v>114</v>
      </c>
    </row>
    <row r="3" spans="1:2" x14ac:dyDescent="0.25">
      <c r="A3">
        <v>1</v>
      </c>
      <c r="B3">
        <v>115</v>
      </c>
    </row>
    <row r="4" spans="1:2" x14ac:dyDescent="0.25">
      <c r="A4">
        <v>1</v>
      </c>
      <c r="B4">
        <v>116</v>
      </c>
    </row>
    <row r="5" spans="1:2" x14ac:dyDescent="0.25">
      <c r="A5">
        <v>2</v>
      </c>
      <c r="B5">
        <v>114</v>
      </c>
    </row>
    <row r="6" spans="1:2" x14ac:dyDescent="0.25">
      <c r="A6">
        <v>2</v>
      </c>
      <c r="B6">
        <v>115</v>
      </c>
    </row>
    <row r="7" spans="1:2" x14ac:dyDescent="0.25">
      <c r="A7">
        <v>2</v>
      </c>
      <c r="B7">
        <v>116</v>
      </c>
    </row>
    <row r="8" spans="1:2" x14ac:dyDescent="0.25">
      <c r="A8">
        <v>2</v>
      </c>
      <c r="B8">
        <v>117</v>
      </c>
    </row>
    <row r="9" spans="1:2" x14ac:dyDescent="0.25">
      <c r="A9">
        <v>3</v>
      </c>
      <c r="B9">
        <v>114</v>
      </c>
    </row>
    <row r="10" spans="1:2" x14ac:dyDescent="0.25">
      <c r="A10">
        <v>3</v>
      </c>
      <c r="B10">
        <v>116</v>
      </c>
    </row>
    <row r="11" spans="1:2" x14ac:dyDescent="0.25">
      <c r="A11">
        <v>4</v>
      </c>
      <c r="B11">
        <v>119</v>
      </c>
    </row>
    <row r="12" spans="1:2" x14ac:dyDescent="0.25">
      <c r="A12">
        <v>4</v>
      </c>
      <c r="B12">
        <v>120</v>
      </c>
    </row>
    <row r="13" spans="1:2" x14ac:dyDescent="0.25">
      <c r="A13">
        <v>5</v>
      </c>
      <c r="B13">
        <v>119</v>
      </c>
    </row>
    <row r="14" spans="1:2" x14ac:dyDescent="0.25">
      <c r="A14">
        <v>5</v>
      </c>
      <c r="B14">
        <v>120</v>
      </c>
    </row>
    <row r="15" spans="1:2" x14ac:dyDescent="0.25">
      <c r="A15">
        <v>5</v>
      </c>
      <c r="B15">
        <v>122</v>
      </c>
    </row>
    <row r="16" spans="1:2" x14ac:dyDescent="0.25">
      <c r="A16">
        <v>2</v>
      </c>
      <c r="B16">
        <v>123</v>
      </c>
    </row>
    <row r="17" spans="1:2" x14ac:dyDescent="0.25">
      <c r="A17">
        <v>3</v>
      </c>
      <c r="B17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B1" workbookViewId="0">
      <selection activeCell="A2" sqref="A2:F2"/>
    </sheetView>
  </sheetViews>
  <sheetFormatPr defaultRowHeight="15" x14ac:dyDescent="0.25"/>
  <cols>
    <col min="4" max="4" width="17" customWidth="1"/>
  </cols>
  <sheetData>
    <row r="1" spans="1:7" ht="15.75" thickBot="1" x14ac:dyDescent="0.3">
      <c r="A1" s="2" t="s">
        <v>211</v>
      </c>
      <c r="B1" s="2" t="s">
        <v>182</v>
      </c>
      <c r="C1" s="2" t="s">
        <v>181</v>
      </c>
      <c r="D1" s="2" t="s">
        <v>212</v>
      </c>
      <c r="E1" s="2" t="s">
        <v>213</v>
      </c>
      <c r="F1" s="2" t="s">
        <v>214</v>
      </c>
      <c r="G1" s="2" t="s">
        <v>215</v>
      </c>
    </row>
    <row r="2" spans="1:7" ht="15.75" thickBot="1" x14ac:dyDescent="0.3">
      <c r="A2" s="3">
        <v>1</v>
      </c>
      <c r="B2" s="2" t="s">
        <v>184</v>
      </c>
      <c r="C2" s="2" t="s">
        <v>185</v>
      </c>
      <c r="D2" s="2" t="s">
        <v>216</v>
      </c>
      <c r="E2" s="4">
        <v>0</v>
      </c>
      <c r="F2" s="2">
        <v>54</v>
      </c>
      <c r="G2" s="2">
        <v>3</v>
      </c>
    </row>
    <row r="3" spans="1:7" ht="15.75" thickBot="1" x14ac:dyDescent="0.3">
      <c r="A3" s="4">
        <v>1</v>
      </c>
      <c r="B3" s="2" t="s">
        <v>184</v>
      </c>
      <c r="C3" s="2" t="s">
        <v>185</v>
      </c>
      <c r="D3" s="2" t="s">
        <v>216</v>
      </c>
      <c r="E3" s="5">
        <v>0</v>
      </c>
      <c r="F3" s="6">
        <v>51</v>
      </c>
      <c r="G3" s="6">
        <v>3</v>
      </c>
    </row>
    <row r="4" spans="1:7" ht="15.75" thickBot="1" x14ac:dyDescent="0.3">
      <c r="A4" s="3">
        <v>2</v>
      </c>
      <c r="B4" s="2" t="s">
        <v>184</v>
      </c>
      <c r="C4" s="2" t="s">
        <v>185</v>
      </c>
      <c r="D4" s="4">
        <v>0</v>
      </c>
      <c r="E4" s="4">
        <v>0</v>
      </c>
      <c r="F4" s="2">
        <v>54</v>
      </c>
      <c r="G4" s="2">
        <v>1</v>
      </c>
    </row>
    <row r="5" spans="1:7" ht="15.75" thickBot="1" x14ac:dyDescent="0.3">
      <c r="A5" s="3">
        <v>2</v>
      </c>
      <c r="B5" s="2" t="s">
        <v>184</v>
      </c>
      <c r="C5" s="2" t="s">
        <v>185</v>
      </c>
      <c r="D5" s="5">
        <v>0</v>
      </c>
      <c r="E5" s="5">
        <v>0</v>
      </c>
      <c r="F5" s="6">
        <v>51</v>
      </c>
      <c r="G5" s="6">
        <v>2</v>
      </c>
    </row>
    <row r="6" spans="1:7" ht="15.75" thickBot="1" x14ac:dyDescent="0.3">
      <c r="A6" s="4">
        <v>1</v>
      </c>
      <c r="B6" s="2" t="s">
        <v>184</v>
      </c>
      <c r="C6" s="2" t="s">
        <v>185</v>
      </c>
      <c r="D6" s="2" t="s">
        <v>216</v>
      </c>
      <c r="E6" s="5">
        <v>0</v>
      </c>
      <c r="F6" s="6">
        <v>21</v>
      </c>
      <c r="G6" s="6">
        <v>3</v>
      </c>
    </row>
    <row r="7" spans="1:7" ht="15.75" thickBot="1" x14ac:dyDescent="0.3">
      <c r="A7" s="3">
        <v>2</v>
      </c>
      <c r="B7" s="2" t="s">
        <v>184</v>
      </c>
      <c r="C7" s="2" t="s">
        <v>185</v>
      </c>
      <c r="D7" s="5">
        <v>0</v>
      </c>
      <c r="E7" s="4">
        <v>0</v>
      </c>
      <c r="F7" s="6">
        <v>21</v>
      </c>
      <c r="G7" s="6">
        <v>3</v>
      </c>
    </row>
    <row r="8" spans="1:7" ht="15.75" thickBot="1" x14ac:dyDescent="0.3">
      <c r="A8" s="3">
        <v>5</v>
      </c>
      <c r="B8" s="2" t="s">
        <v>184</v>
      </c>
      <c r="C8" s="2" t="s">
        <v>185</v>
      </c>
      <c r="D8" s="4">
        <v>0</v>
      </c>
      <c r="E8" s="4">
        <v>1</v>
      </c>
      <c r="F8" s="2">
        <v>33</v>
      </c>
      <c r="G8" s="2">
        <v>3</v>
      </c>
    </row>
    <row r="9" spans="1:7" ht="15.75" thickBot="1" x14ac:dyDescent="0.3">
      <c r="A9" s="4">
        <v>3</v>
      </c>
      <c r="B9" s="2" t="s">
        <v>184</v>
      </c>
      <c r="C9" s="2" t="s">
        <v>185</v>
      </c>
      <c r="D9" s="4">
        <v>0</v>
      </c>
      <c r="E9" s="4">
        <v>0</v>
      </c>
      <c r="F9" s="2">
        <v>33</v>
      </c>
      <c r="G9" s="2">
        <v>2</v>
      </c>
    </row>
    <row r="10" spans="1:7" ht="15.75" thickBot="1" x14ac:dyDescent="0.3">
      <c r="A10" s="3">
        <v>1</v>
      </c>
      <c r="B10" s="2" t="s">
        <v>184</v>
      </c>
      <c r="C10" s="2" t="s">
        <v>185</v>
      </c>
      <c r="D10" s="2" t="s">
        <v>216</v>
      </c>
      <c r="E10" s="4">
        <v>0</v>
      </c>
      <c r="F10" s="2">
        <v>54</v>
      </c>
      <c r="G10" s="2">
        <v>3</v>
      </c>
    </row>
    <row r="11" spans="1:7" ht="15.75" thickBot="1" x14ac:dyDescent="0.3">
      <c r="A11" s="4">
        <v>1</v>
      </c>
      <c r="B11" s="2" t="s">
        <v>184</v>
      </c>
      <c r="C11" s="2" t="s">
        <v>185</v>
      </c>
      <c r="D11" s="2" t="s">
        <v>216</v>
      </c>
      <c r="E11" s="5">
        <v>0</v>
      </c>
      <c r="F11" s="6">
        <v>51</v>
      </c>
      <c r="G11" s="6">
        <v>3</v>
      </c>
    </row>
    <row r="12" spans="1:7" ht="15.75" thickBot="1" x14ac:dyDescent="0.3">
      <c r="A12" s="3">
        <v>2</v>
      </c>
      <c r="B12" s="2" t="s">
        <v>184</v>
      </c>
      <c r="C12" s="2" t="s">
        <v>185</v>
      </c>
      <c r="D12" s="4">
        <v>0</v>
      </c>
      <c r="E12" s="4">
        <v>0</v>
      </c>
      <c r="F12" s="2">
        <v>54</v>
      </c>
      <c r="G12" s="2">
        <v>1</v>
      </c>
    </row>
    <row r="13" spans="1:7" ht="15.75" thickBot="1" x14ac:dyDescent="0.3">
      <c r="A13" s="3">
        <v>2</v>
      </c>
      <c r="B13" s="2" t="s">
        <v>184</v>
      </c>
      <c r="C13" s="2" t="s">
        <v>185</v>
      </c>
      <c r="D13" s="5">
        <v>0</v>
      </c>
      <c r="E13" s="5">
        <v>0</v>
      </c>
      <c r="F13" s="6">
        <v>51</v>
      </c>
      <c r="G13" s="6">
        <v>2</v>
      </c>
    </row>
    <row r="14" spans="1:7" ht="15.75" thickBot="1" x14ac:dyDescent="0.3">
      <c r="A14" s="4">
        <v>1</v>
      </c>
      <c r="B14" s="2" t="s">
        <v>184</v>
      </c>
      <c r="C14" s="2" t="s">
        <v>185</v>
      </c>
      <c r="D14" s="2" t="s">
        <v>216</v>
      </c>
      <c r="E14" s="5">
        <v>0</v>
      </c>
      <c r="F14" s="6">
        <v>21</v>
      </c>
      <c r="G14" s="6">
        <v>3</v>
      </c>
    </row>
    <row r="15" spans="1:7" ht="15.75" thickBot="1" x14ac:dyDescent="0.3">
      <c r="A15" s="3">
        <v>2</v>
      </c>
      <c r="B15" s="2" t="s">
        <v>184</v>
      </c>
      <c r="C15" s="2" t="s">
        <v>185</v>
      </c>
      <c r="D15" s="5">
        <v>0</v>
      </c>
      <c r="E15" s="4">
        <v>0</v>
      </c>
      <c r="F15" s="6">
        <v>21</v>
      </c>
      <c r="G15" s="6">
        <v>3</v>
      </c>
    </row>
    <row r="16" spans="1:7" ht="15.75" thickBot="1" x14ac:dyDescent="0.3">
      <c r="A16" s="3">
        <v>5</v>
      </c>
      <c r="B16" s="2" t="s">
        <v>184</v>
      </c>
      <c r="C16" s="2" t="s">
        <v>185</v>
      </c>
      <c r="D16" s="4">
        <v>0</v>
      </c>
      <c r="E16" s="4">
        <v>1</v>
      </c>
      <c r="F16" s="2">
        <v>33</v>
      </c>
      <c r="G16" s="2">
        <v>3</v>
      </c>
    </row>
    <row r="17" spans="1:7" ht="15.75" thickBot="1" x14ac:dyDescent="0.3">
      <c r="A17" s="4">
        <v>3</v>
      </c>
      <c r="B17" s="2" t="s">
        <v>184</v>
      </c>
      <c r="C17" s="2" t="s">
        <v>185</v>
      </c>
      <c r="D17" s="4">
        <v>0</v>
      </c>
      <c r="E17" s="4">
        <v>0</v>
      </c>
      <c r="F17" s="2">
        <v>33</v>
      </c>
      <c r="G17" s="2">
        <v>2</v>
      </c>
    </row>
    <row r="18" spans="1:7" ht="15.75" thickBot="1" x14ac:dyDescent="0.3">
      <c r="A18" s="3">
        <v>1</v>
      </c>
      <c r="B18" s="2" t="s">
        <v>184</v>
      </c>
      <c r="C18" s="2" t="s">
        <v>185</v>
      </c>
      <c r="D18" s="2" t="s">
        <v>216</v>
      </c>
      <c r="E18" s="4">
        <v>0</v>
      </c>
      <c r="F18" s="2">
        <v>54</v>
      </c>
      <c r="G18" s="2">
        <v>3</v>
      </c>
    </row>
    <row r="19" spans="1:7" ht="15.75" thickBot="1" x14ac:dyDescent="0.3">
      <c r="A19" s="4">
        <v>1</v>
      </c>
      <c r="B19" s="2" t="s">
        <v>184</v>
      </c>
      <c r="C19" s="2" t="s">
        <v>185</v>
      </c>
      <c r="D19" s="2" t="s">
        <v>216</v>
      </c>
      <c r="E19" s="5">
        <v>0</v>
      </c>
      <c r="F19" s="6">
        <v>51</v>
      </c>
      <c r="G19" s="6">
        <v>3</v>
      </c>
    </row>
    <row r="20" spans="1:7" ht="15.75" thickBot="1" x14ac:dyDescent="0.3">
      <c r="A20" s="3">
        <v>2</v>
      </c>
      <c r="B20" s="2" t="s">
        <v>184</v>
      </c>
      <c r="C20" s="2" t="s">
        <v>185</v>
      </c>
      <c r="D20" s="4">
        <v>0</v>
      </c>
      <c r="E20" s="4">
        <v>0</v>
      </c>
      <c r="F20" s="2">
        <v>54</v>
      </c>
      <c r="G20" s="2">
        <v>1</v>
      </c>
    </row>
    <row r="21" spans="1:7" ht="15.75" thickBot="1" x14ac:dyDescent="0.3">
      <c r="A21" s="3">
        <v>2</v>
      </c>
      <c r="B21" s="2" t="s">
        <v>184</v>
      </c>
      <c r="C21" s="2" t="s">
        <v>185</v>
      </c>
      <c r="D21" s="5">
        <v>0</v>
      </c>
      <c r="E21" s="5">
        <v>0</v>
      </c>
      <c r="F21" s="6">
        <v>51</v>
      </c>
      <c r="G21" s="6">
        <v>2</v>
      </c>
    </row>
    <row r="22" spans="1:7" ht="15.75" thickBot="1" x14ac:dyDescent="0.3">
      <c r="A22" s="4">
        <v>1</v>
      </c>
      <c r="B22" s="2" t="s">
        <v>184</v>
      </c>
      <c r="C22" s="2" t="s">
        <v>185</v>
      </c>
      <c r="D22" s="2" t="s">
        <v>216</v>
      </c>
      <c r="E22" s="5">
        <v>0</v>
      </c>
      <c r="F22" s="6">
        <v>21</v>
      </c>
      <c r="G22" s="6">
        <v>3</v>
      </c>
    </row>
    <row r="23" spans="1:7" ht="15.75" thickBot="1" x14ac:dyDescent="0.3">
      <c r="A23" s="3">
        <v>2</v>
      </c>
      <c r="B23" s="2" t="s">
        <v>184</v>
      </c>
      <c r="C23" s="2" t="s">
        <v>185</v>
      </c>
      <c r="D23" s="5">
        <v>0</v>
      </c>
      <c r="E23" s="4">
        <v>0</v>
      </c>
      <c r="F23" s="6">
        <v>21</v>
      </c>
      <c r="G23" s="6">
        <v>3</v>
      </c>
    </row>
    <row r="24" spans="1:7" ht="15.75" thickBot="1" x14ac:dyDescent="0.3">
      <c r="A24" s="3">
        <v>5</v>
      </c>
      <c r="B24" s="2" t="s">
        <v>184</v>
      </c>
      <c r="C24" s="2" t="s">
        <v>185</v>
      </c>
      <c r="D24" s="4">
        <v>0</v>
      </c>
      <c r="E24" s="4">
        <v>1</v>
      </c>
      <c r="F24" s="2">
        <v>33</v>
      </c>
      <c r="G24" s="2">
        <v>3</v>
      </c>
    </row>
    <row r="25" spans="1:7" ht="15.75" thickBot="1" x14ac:dyDescent="0.3">
      <c r="A25" s="4">
        <v>3</v>
      </c>
      <c r="B25" s="2" t="s">
        <v>184</v>
      </c>
      <c r="C25" s="2" t="s">
        <v>185</v>
      </c>
      <c r="D25" s="4">
        <v>0</v>
      </c>
      <c r="E25" s="4">
        <v>0</v>
      </c>
      <c r="F25" s="2">
        <v>33</v>
      </c>
      <c r="G25" s="2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H2" sqref="H2"/>
    </sheetView>
  </sheetViews>
  <sheetFormatPr defaultRowHeight="15" x14ac:dyDescent="0.25"/>
  <cols>
    <col min="1" max="1" width="11.5703125" customWidth="1"/>
    <col min="2" max="2" width="15.5703125" customWidth="1"/>
    <col min="3" max="3" width="12" customWidth="1"/>
    <col min="7" max="7" width="18.42578125" customWidth="1"/>
    <col min="8" max="8" width="22" customWidth="1"/>
    <col min="9" max="9" width="12" customWidth="1"/>
  </cols>
  <sheetData>
    <row r="1" spans="1:9" ht="15.75" thickBot="1" x14ac:dyDescent="0.3">
      <c r="A1" s="2" t="s">
        <v>211</v>
      </c>
      <c r="B1" s="2" t="s">
        <v>182</v>
      </c>
      <c r="C1" s="2" t="s">
        <v>181</v>
      </c>
      <c r="D1" s="2" t="s">
        <v>212</v>
      </c>
      <c r="E1" s="2" t="s">
        <v>213</v>
      </c>
      <c r="F1" s="2" t="s">
        <v>214</v>
      </c>
      <c r="G1" s="7" t="s">
        <v>227</v>
      </c>
      <c r="H1" s="7" t="s">
        <v>257</v>
      </c>
      <c r="I1" s="7" t="s">
        <v>189</v>
      </c>
    </row>
    <row r="2" spans="1:9" ht="15.75" thickBot="1" x14ac:dyDescent="0.3">
      <c r="A2" s="3">
        <v>1</v>
      </c>
      <c r="B2" s="2" t="s">
        <v>184</v>
      </c>
      <c r="C2" s="2" t="s">
        <v>185</v>
      </c>
      <c r="D2" s="2">
        <v>1</v>
      </c>
      <c r="E2" s="4">
        <v>0</v>
      </c>
      <c r="F2" s="2">
        <v>54</v>
      </c>
      <c r="G2" s="8">
        <v>11700</v>
      </c>
      <c r="H2" s="8">
        <v>12000</v>
      </c>
      <c r="I2" s="8">
        <v>10000</v>
      </c>
    </row>
    <row r="3" spans="1:9" ht="15.75" thickBot="1" x14ac:dyDescent="0.3">
      <c r="A3" s="3">
        <v>2</v>
      </c>
      <c r="B3" s="2" t="s">
        <v>184</v>
      </c>
      <c r="C3" s="2" t="s">
        <v>185</v>
      </c>
      <c r="D3" s="2"/>
      <c r="E3" s="4">
        <v>0</v>
      </c>
      <c r="F3" s="2">
        <v>54</v>
      </c>
      <c r="G3" s="8">
        <v>11700</v>
      </c>
      <c r="H3" s="8">
        <v>12000</v>
      </c>
      <c r="I3" s="8">
        <v>5000</v>
      </c>
    </row>
    <row r="4" spans="1:9" ht="15.75" thickBot="1" x14ac:dyDescent="0.3">
      <c r="A4" s="3">
        <v>2</v>
      </c>
      <c r="B4" s="2" t="s">
        <v>184</v>
      </c>
      <c r="C4" s="2" t="s">
        <v>185</v>
      </c>
      <c r="D4" s="2"/>
      <c r="E4" s="4">
        <v>0</v>
      </c>
      <c r="F4" s="2">
        <v>19</v>
      </c>
      <c r="G4" s="8">
        <v>11700</v>
      </c>
      <c r="H4" s="8">
        <v>12000</v>
      </c>
      <c r="I4" s="8">
        <v>10000</v>
      </c>
    </row>
    <row r="5" spans="1:9" ht="15.75" thickBot="1" x14ac:dyDescent="0.3">
      <c r="A5" s="3">
        <v>6</v>
      </c>
      <c r="B5" s="2" t="s">
        <v>184</v>
      </c>
      <c r="C5" s="2" t="s">
        <v>228</v>
      </c>
      <c r="D5" s="2"/>
      <c r="E5" s="4">
        <v>1</v>
      </c>
      <c r="F5" s="2">
        <v>19</v>
      </c>
      <c r="G5" s="8">
        <v>11700</v>
      </c>
      <c r="H5" s="8">
        <v>12000</v>
      </c>
      <c r="I5" s="8">
        <v>5000</v>
      </c>
    </row>
    <row r="6" spans="1:9" ht="15.75" thickBot="1" x14ac:dyDescent="0.3">
      <c r="A6" s="3">
        <v>1</v>
      </c>
      <c r="B6" s="2" t="s">
        <v>184</v>
      </c>
      <c r="C6" s="2" t="s">
        <v>185</v>
      </c>
      <c r="D6" s="2">
        <v>1</v>
      </c>
      <c r="E6" s="4">
        <v>0</v>
      </c>
      <c r="F6" s="2">
        <v>54</v>
      </c>
      <c r="G6" s="8">
        <v>6700</v>
      </c>
      <c r="H6" s="8">
        <v>7000</v>
      </c>
      <c r="I6" s="8">
        <v>5000</v>
      </c>
    </row>
    <row r="7" spans="1:9" x14ac:dyDescent="0.25">
      <c r="A7" s="1"/>
    </row>
    <row r="8" spans="1:9" x14ac:dyDescent="0.25">
      <c r="A8" s="1"/>
    </row>
    <row r="9" spans="1:9" x14ac:dyDescent="0.25">
      <c r="A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I6" sqref="I6"/>
    </sheetView>
  </sheetViews>
  <sheetFormatPr defaultRowHeight="15" x14ac:dyDescent="0.25"/>
  <cols>
    <col min="5" max="5" width="10.42578125" customWidth="1"/>
    <col min="6" max="6" width="12.85546875" customWidth="1"/>
  </cols>
  <sheetData>
    <row r="1" spans="1:6" ht="27" thickBot="1" x14ac:dyDescent="0.3">
      <c r="A1" s="2" t="s">
        <v>164</v>
      </c>
      <c r="B1" s="2" t="s">
        <v>182</v>
      </c>
      <c r="C1" s="2" t="s">
        <v>229</v>
      </c>
      <c r="D1" s="2" t="s">
        <v>230</v>
      </c>
      <c r="E1" s="2" t="s">
        <v>231</v>
      </c>
      <c r="F1" s="2" t="s">
        <v>232</v>
      </c>
    </row>
    <row r="2" spans="1:6" ht="15.75" thickBot="1" x14ac:dyDescent="0.3">
      <c r="A2" s="4">
        <v>1</v>
      </c>
      <c r="B2" s="2" t="s">
        <v>184</v>
      </c>
      <c r="C2" s="2" t="s">
        <v>233</v>
      </c>
      <c r="D2" s="4">
        <v>22</v>
      </c>
      <c r="E2" s="4">
        <v>6</v>
      </c>
      <c r="F2" s="4">
        <v>60000</v>
      </c>
    </row>
    <row r="3" spans="1:6" ht="15.75" thickBot="1" x14ac:dyDescent="0.3">
      <c r="A3" s="4">
        <v>2</v>
      </c>
      <c r="B3" s="2" t="s">
        <v>184</v>
      </c>
      <c r="C3" s="2" t="s">
        <v>233</v>
      </c>
      <c r="D3" s="4">
        <v>23</v>
      </c>
      <c r="E3" s="4">
        <v>8</v>
      </c>
      <c r="F3" s="4">
        <v>80000</v>
      </c>
    </row>
    <row r="4" spans="1:6" ht="15.75" thickBot="1" x14ac:dyDescent="0.3">
      <c r="A4" s="4">
        <v>3</v>
      </c>
      <c r="B4" s="2" t="s">
        <v>187</v>
      </c>
      <c r="C4" s="2" t="s">
        <v>233</v>
      </c>
      <c r="D4" s="4">
        <v>25</v>
      </c>
      <c r="E4" s="4">
        <v>8</v>
      </c>
      <c r="F4" s="4">
        <v>240000</v>
      </c>
    </row>
    <row r="5" spans="1:6" ht="15.75" thickBot="1" x14ac:dyDescent="0.3">
      <c r="A5" s="4">
        <v>4</v>
      </c>
      <c r="B5" s="2" t="s">
        <v>184</v>
      </c>
      <c r="C5" s="2" t="s">
        <v>234</v>
      </c>
      <c r="D5" s="4">
        <v>28</v>
      </c>
      <c r="E5" s="4">
        <v>6</v>
      </c>
      <c r="F5" s="4">
        <v>60000</v>
      </c>
    </row>
    <row r="6" spans="1:6" ht="15.75" thickBot="1" x14ac:dyDescent="0.3">
      <c r="A6" s="4">
        <v>5</v>
      </c>
      <c r="B6" s="2" t="s">
        <v>187</v>
      </c>
      <c r="C6" s="2" t="s">
        <v>233</v>
      </c>
      <c r="D6" s="4">
        <v>30</v>
      </c>
      <c r="E6" s="4">
        <v>3</v>
      </c>
      <c r="F6" s="4">
        <v>90000</v>
      </c>
    </row>
    <row r="7" spans="1:6" ht="15.75" thickBot="1" x14ac:dyDescent="0.3">
      <c r="A7" s="4">
        <v>6</v>
      </c>
      <c r="B7" s="2" t="s">
        <v>184</v>
      </c>
      <c r="C7" s="2" t="s">
        <v>233</v>
      </c>
      <c r="D7" s="4">
        <v>25</v>
      </c>
      <c r="E7" s="4">
        <v>6</v>
      </c>
      <c r="F7" s="4">
        <v>60000</v>
      </c>
    </row>
    <row r="8" spans="1:6" ht="15.75" thickBot="1" x14ac:dyDescent="0.3">
      <c r="A8" s="4">
        <v>7</v>
      </c>
      <c r="B8" s="2" t="s">
        <v>187</v>
      </c>
      <c r="C8" s="2" t="s">
        <v>233</v>
      </c>
      <c r="D8" s="4">
        <v>24</v>
      </c>
      <c r="E8" s="4">
        <v>8</v>
      </c>
      <c r="F8" s="4">
        <v>240000</v>
      </c>
    </row>
    <row r="9" spans="1:6" ht="15.75" thickBot="1" x14ac:dyDescent="0.3">
      <c r="A9" s="4">
        <v>8</v>
      </c>
      <c r="B9" s="2" t="s">
        <v>187</v>
      </c>
      <c r="C9" s="2" t="s">
        <v>233</v>
      </c>
      <c r="D9" s="4">
        <v>26</v>
      </c>
      <c r="E9" s="4">
        <v>12</v>
      </c>
      <c r="F9" s="4">
        <v>120000</v>
      </c>
    </row>
    <row r="10" spans="1:6" ht="15.75" thickBot="1" x14ac:dyDescent="0.3">
      <c r="A10" s="4">
        <v>9</v>
      </c>
      <c r="B10" s="2" t="s">
        <v>187</v>
      </c>
      <c r="C10" s="2" t="s">
        <v>234</v>
      </c>
      <c r="D10" s="4">
        <v>27</v>
      </c>
      <c r="E10" s="4">
        <v>8</v>
      </c>
      <c r="F10" s="4">
        <v>240000</v>
      </c>
    </row>
    <row r="11" spans="1:6" ht="15.75" thickBot="1" x14ac:dyDescent="0.3">
      <c r="A11" s="4">
        <v>10</v>
      </c>
      <c r="B11" s="2" t="s">
        <v>184</v>
      </c>
      <c r="C11" s="2" t="s">
        <v>233</v>
      </c>
      <c r="D11" s="4">
        <v>22</v>
      </c>
      <c r="E11" s="4">
        <v>6</v>
      </c>
      <c r="F11" s="4">
        <v>60000</v>
      </c>
    </row>
    <row r="12" spans="1:6" ht="15.75" thickBot="1" x14ac:dyDescent="0.3">
      <c r="A12" s="4">
        <v>11</v>
      </c>
      <c r="B12" s="2" t="s">
        <v>187</v>
      </c>
      <c r="C12" s="2" t="s">
        <v>233</v>
      </c>
      <c r="D12" s="4">
        <v>22</v>
      </c>
      <c r="E12" s="4">
        <v>7</v>
      </c>
      <c r="F12" s="4">
        <v>70000</v>
      </c>
    </row>
    <row r="13" spans="1:6" ht="15.75" thickBot="1" x14ac:dyDescent="0.3">
      <c r="A13" s="4">
        <v>12</v>
      </c>
      <c r="B13" s="2" t="s">
        <v>184</v>
      </c>
      <c r="C13" s="2" t="s">
        <v>234</v>
      </c>
      <c r="D13" s="4">
        <v>24</v>
      </c>
      <c r="E13" s="4">
        <v>7</v>
      </c>
      <c r="F13" s="4">
        <v>70000</v>
      </c>
    </row>
    <row r="14" spans="1:6" ht="15.75" thickBot="1" x14ac:dyDescent="0.3">
      <c r="A14" s="4">
        <v>13</v>
      </c>
      <c r="B14" s="2" t="s">
        <v>235</v>
      </c>
      <c r="C14" s="2" t="s">
        <v>233</v>
      </c>
      <c r="D14" s="4">
        <v>22</v>
      </c>
      <c r="E14" s="4">
        <v>8</v>
      </c>
      <c r="F14" s="4">
        <v>80000</v>
      </c>
    </row>
    <row r="15" spans="1:6" ht="15.75" thickBot="1" x14ac:dyDescent="0.3">
      <c r="A15" s="4">
        <v>14</v>
      </c>
      <c r="B15" s="2" t="s">
        <v>184</v>
      </c>
      <c r="C15" s="2" t="s">
        <v>233</v>
      </c>
      <c r="D15" s="4">
        <v>24</v>
      </c>
      <c r="E15" s="4">
        <v>9</v>
      </c>
      <c r="F15" s="4">
        <v>90000</v>
      </c>
    </row>
    <row r="16" spans="1:6" ht="15.75" thickBot="1" x14ac:dyDescent="0.3">
      <c r="A16" s="4">
        <v>15</v>
      </c>
      <c r="B16" s="2" t="s">
        <v>184</v>
      </c>
      <c r="C16" s="2" t="s">
        <v>233</v>
      </c>
      <c r="D16" s="4">
        <v>22</v>
      </c>
      <c r="E16" s="4">
        <v>11</v>
      </c>
      <c r="F16" s="4">
        <v>110000</v>
      </c>
    </row>
    <row r="17" spans="1:6" ht="15.75" thickBot="1" x14ac:dyDescent="0.3">
      <c r="A17" s="4">
        <v>16</v>
      </c>
      <c r="B17" s="2" t="s">
        <v>187</v>
      </c>
      <c r="C17" s="2" t="s">
        <v>233</v>
      </c>
      <c r="D17" s="4">
        <v>31</v>
      </c>
      <c r="E17" s="4">
        <v>5</v>
      </c>
      <c r="F17" s="4">
        <v>100000</v>
      </c>
    </row>
    <row r="18" spans="1:6" ht="15.75" thickBot="1" x14ac:dyDescent="0.3">
      <c r="A18" s="4">
        <v>17</v>
      </c>
      <c r="B18" s="2" t="s">
        <v>236</v>
      </c>
      <c r="C18" s="2" t="s">
        <v>234</v>
      </c>
      <c r="D18" s="4">
        <v>24</v>
      </c>
      <c r="E18" s="4">
        <v>12</v>
      </c>
      <c r="F18" s="4">
        <v>120000</v>
      </c>
    </row>
    <row r="19" spans="1:6" ht="15.75" thickBot="1" x14ac:dyDescent="0.3">
      <c r="A19" s="4">
        <v>18</v>
      </c>
      <c r="B19" s="2" t="s">
        <v>184</v>
      </c>
      <c r="C19" s="2" t="s">
        <v>234</v>
      </c>
      <c r="D19" s="4">
        <v>24</v>
      </c>
      <c r="E19" s="4">
        <v>6</v>
      </c>
      <c r="F19" s="4">
        <v>60000</v>
      </c>
    </row>
    <row r="20" spans="1:6" ht="15.75" thickBot="1" x14ac:dyDescent="0.3">
      <c r="A20" s="4">
        <v>19</v>
      </c>
      <c r="B20" s="2" t="s">
        <v>236</v>
      </c>
      <c r="C20" s="2" t="s">
        <v>233</v>
      </c>
      <c r="D20" s="4">
        <v>32</v>
      </c>
      <c r="E20" s="4">
        <v>23</v>
      </c>
      <c r="F20" s="4">
        <v>230000</v>
      </c>
    </row>
    <row r="21" spans="1:6" ht="15.75" thickBot="1" x14ac:dyDescent="0.3">
      <c r="A21" s="4">
        <v>20</v>
      </c>
      <c r="B21" s="2" t="s">
        <v>187</v>
      </c>
      <c r="C21" s="2" t="s">
        <v>233</v>
      </c>
      <c r="D21" s="4">
        <v>33</v>
      </c>
      <c r="E21" s="4">
        <v>14</v>
      </c>
      <c r="F21" s="4">
        <v>140000</v>
      </c>
    </row>
    <row r="22" spans="1:6" ht="15.75" thickBot="1" x14ac:dyDescent="0.3">
      <c r="A22" s="4">
        <v>21</v>
      </c>
      <c r="B22" s="2" t="s">
        <v>187</v>
      </c>
      <c r="C22" s="2" t="s">
        <v>234</v>
      </c>
      <c r="D22" s="4">
        <v>24</v>
      </c>
      <c r="E22" s="4">
        <v>14</v>
      </c>
      <c r="F22" s="4">
        <v>140000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sqref="A1:C25"/>
    </sheetView>
  </sheetViews>
  <sheetFormatPr defaultRowHeight="15" x14ac:dyDescent="0.25"/>
  <cols>
    <col min="2" max="2" width="12.28515625" customWidth="1"/>
  </cols>
  <sheetData>
    <row r="1" spans="1:3" x14ac:dyDescent="0.25">
      <c r="A1" t="s">
        <v>237</v>
      </c>
      <c r="B1" t="s">
        <v>238</v>
      </c>
      <c r="C1" t="s">
        <v>182</v>
      </c>
    </row>
    <row r="2" spans="1:3" x14ac:dyDescent="0.25">
      <c r="A2">
        <v>0</v>
      </c>
      <c r="B2">
        <v>7000</v>
      </c>
      <c r="C2" t="s">
        <v>184</v>
      </c>
    </row>
    <row r="3" spans="1:3" x14ac:dyDescent="0.25">
      <c r="A3">
        <v>1</v>
      </c>
      <c r="B3">
        <v>7100</v>
      </c>
      <c r="C3" t="s">
        <v>184</v>
      </c>
    </row>
    <row r="4" spans="1:3" x14ac:dyDescent="0.25">
      <c r="A4">
        <v>2</v>
      </c>
      <c r="B4">
        <v>5150</v>
      </c>
      <c r="C4" t="s">
        <v>184</v>
      </c>
    </row>
    <row r="5" spans="1:3" x14ac:dyDescent="0.25">
      <c r="A5">
        <v>3</v>
      </c>
      <c r="B5">
        <v>3050</v>
      </c>
      <c r="C5" t="s">
        <v>184</v>
      </c>
    </row>
    <row r="6" spans="1:3" x14ac:dyDescent="0.25">
      <c r="A6">
        <v>4</v>
      </c>
      <c r="B6">
        <v>500</v>
      </c>
      <c r="C6" t="s">
        <v>184</v>
      </c>
    </row>
    <row r="7" spans="1:3" x14ac:dyDescent="0.25">
      <c r="A7">
        <v>5</v>
      </c>
      <c r="B7">
        <v>2000</v>
      </c>
      <c r="C7" t="s">
        <v>184</v>
      </c>
    </row>
    <row r="8" spans="1:3" x14ac:dyDescent="0.25">
      <c r="A8">
        <v>6</v>
      </c>
      <c r="B8">
        <v>2100</v>
      </c>
      <c r="C8" t="s">
        <v>184</v>
      </c>
    </row>
    <row r="9" spans="1:3" x14ac:dyDescent="0.25">
      <c r="A9">
        <v>7</v>
      </c>
      <c r="B9">
        <v>7000</v>
      </c>
      <c r="C9" t="s">
        <v>184</v>
      </c>
    </row>
    <row r="10" spans="1:3" x14ac:dyDescent="0.25">
      <c r="A10">
        <v>8</v>
      </c>
      <c r="B10">
        <v>12000</v>
      </c>
      <c r="C10" t="s">
        <v>184</v>
      </c>
    </row>
    <row r="11" spans="1:3" x14ac:dyDescent="0.25">
      <c r="A11">
        <v>9</v>
      </c>
      <c r="B11">
        <v>13000</v>
      </c>
      <c r="C11" t="s">
        <v>184</v>
      </c>
    </row>
    <row r="12" spans="1:3" x14ac:dyDescent="0.25">
      <c r="A12">
        <v>10</v>
      </c>
      <c r="B12">
        <v>12500</v>
      </c>
      <c r="C12" t="s">
        <v>184</v>
      </c>
    </row>
    <row r="13" spans="1:3" x14ac:dyDescent="0.25">
      <c r="A13">
        <v>11</v>
      </c>
      <c r="B13">
        <v>15000</v>
      </c>
      <c r="C13" t="s">
        <v>184</v>
      </c>
    </row>
    <row r="14" spans="1:3" x14ac:dyDescent="0.25">
      <c r="A14">
        <v>12</v>
      </c>
      <c r="B14">
        <v>16000</v>
      </c>
      <c r="C14" t="s">
        <v>184</v>
      </c>
    </row>
    <row r="15" spans="1:3" x14ac:dyDescent="0.25">
      <c r="A15">
        <v>13</v>
      </c>
      <c r="B15">
        <v>14000</v>
      </c>
      <c r="C15" t="s">
        <v>184</v>
      </c>
    </row>
    <row r="16" spans="1:3" x14ac:dyDescent="0.25">
      <c r="A16">
        <v>14</v>
      </c>
      <c r="B16">
        <v>13000</v>
      </c>
      <c r="C16" t="s">
        <v>184</v>
      </c>
    </row>
    <row r="17" spans="1:3" x14ac:dyDescent="0.25">
      <c r="A17">
        <v>15</v>
      </c>
      <c r="B17">
        <v>13500</v>
      </c>
      <c r="C17" t="s">
        <v>184</v>
      </c>
    </row>
    <row r="18" spans="1:3" x14ac:dyDescent="0.25">
      <c r="A18">
        <v>16</v>
      </c>
      <c r="B18">
        <v>13400</v>
      </c>
      <c r="C18" t="s">
        <v>184</v>
      </c>
    </row>
    <row r="19" spans="1:3" x14ac:dyDescent="0.25">
      <c r="A19">
        <v>17</v>
      </c>
      <c r="B19">
        <v>15000</v>
      </c>
      <c r="C19" t="s">
        <v>184</v>
      </c>
    </row>
    <row r="20" spans="1:3" x14ac:dyDescent="0.25">
      <c r="A20">
        <v>18</v>
      </c>
      <c r="B20">
        <v>9000</v>
      </c>
      <c r="C20" t="s">
        <v>184</v>
      </c>
    </row>
    <row r="21" spans="1:3" x14ac:dyDescent="0.25">
      <c r="A21">
        <v>19</v>
      </c>
      <c r="B21">
        <v>9800</v>
      </c>
      <c r="C21" t="s">
        <v>184</v>
      </c>
    </row>
    <row r="22" spans="1:3" x14ac:dyDescent="0.25">
      <c r="A22">
        <v>20</v>
      </c>
      <c r="B22">
        <v>17000</v>
      </c>
      <c r="C22" t="s">
        <v>184</v>
      </c>
    </row>
    <row r="23" spans="1:3" x14ac:dyDescent="0.25">
      <c r="A23">
        <v>21</v>
      </c>
      <c r="B23">
        <v>18000</v>
      </c>
      <c r="C23" t="s">
        <v>184</v>
      </c>
    </row>
    <row r="24" spans="1:3" x14ac:dyDescent="0.25">
      <c r="A24">
        <v>22</v>
      </c>
      <c r="B24">
        <v>17800</v>
      </c>
      <c r="C24" t="s">
        <v>184</v>
      </c>
    </row>
    <row r="25" spans="1:3" x14ac:dyDescent="0.25">
      <c r="A25">
        <v>23</v>
      </c>
      <c r="B25">
        <v>11000</v>
      </c>
      <c r="C25" t="s">
        <v>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K10" sqref="K10"/>
    </sheetView>
  </sheetViews>
  <sheetFormatPr defaultRowHeight="15" x14ac:dyDescent="0.25"/>
  <cols>
    <col min="2" max="2" width="13.5703125" customWidth="1"/>
  </cols>
  <sheetData>
    <row r="1" spans="1:3" x14ac:dyDescent="0.25">
      <c r="A1" t="s">
        <v>237</v>
      </c>
      <c r="B1" t="s">
        <v>238</v>
      </c>
      <c r="C1" t="s">
        <v>182</v>
      </c>
    </row>
    <row r="2" spans="1:3" x14ac:dyDescent="0.25">
      <c r="A2">
        <v>0</v>
      </c>
      <c r="B2">
        <v>700</v>
      </c>
      <c r="C2" t="s">
        <v>184</v>
      </c>
    </row>
    <row r="3" spans="1:3" x14ac:dyDescent="0.25">
      <c r="A3">
        <v>1</v>
      </c>
      <c r="B3">
        <v>710</v>
      </c>
      <c r="C3" t="s">
        <v>184</v>
      </c>
    </row>
    <row r="4" spans="1:3" x14ac:dyDescent="0.25">
      <c r="A4">
        <v>2</v>
      </c>
      <c r="B4">
        <v>515</v>
      </c>
      <c r="C4" t="s">
        <v>184</v>
      </c>
    </row>
    <row r="5" spans="1:3" x14ac:dyDescent="0.25">
      <c r="A5">
        <v>3</v>
      </c>
      <c r="B5">
        <v>305</v>
      </c>
      <c r="C5" t="s">
        <v>184</v>
      </c>
    </row>
    <row r="6" spans="1:3" x14ac:dyDescent="0.25">
      <c r="A6">
        <v>4</v>
      </c>
      <c r="B6">
        <v>50</v>
      </c>
      <c r="C6" t="s">
        <v>184</v>
      </c>
    </row>
    <row r="7" spans="1:3" x14ac:dyDescent="0.25">
      <c r="A7">
        <v>5</v>
      </c>
      <c r="B7">
        <v>200</v>
      </c>
      <c r="C7" t="s">
        <v>184</v>
      </c>
    </row>
    <row r="8" spans="1:3" x14ac:dyDescent="0.25">
      <c r="A8">
        <v>6</v>
      </c>
      <c r="B8">
        <v>210</v>
      </c>
      <c r="C8" t="s">
        <v>184</v>
      </c>
    </row>
    <row r="9" spans="1:3" x14ac:dyDescent="0.25">
      <c r="A9">
        <v>7</v>
      </c>
      <c r="B9">
        <v>5000</v>
      </c>
      <c r="C9" t="s">
        <v>184</v>
      </c>
    </row>
    <row r="10" spans="1:3" x14ac:dyDescent="0.25">
      <c r="A10">
        <v>8</v>
      </c>
      <c r="B10">
        <v>7000</v>
      </c>
      <c r="C10" t="s">
        <v>184</v>
      </c>
    </row>
    <row r="11" spans="1:3" x14ac:dyDescent="0.25">
      <c r="A11">
        <v>9</v>
      </c>
      <c r="B11">
        <v>8000</v>
      </c>
      <c r="C11" t="s">
        <v>184</v>
      </c>
    </row>
    <row r="12" spans="1:3" x14ac:dyDescent="0.25">
      <c r="A12">
        <v>10</v>
      </c>
      <c r="B12">
        <v>1200</v>
      </c>
      <c r="C12" t="s">
        <v>184</v>
      </c>
    </row>
    <row r="13" spans="1:3" x14ac:dyDescent="0.25">
      <c r="A13">
        <v>11</v>
      </c>
      <c r="B13">
        <v>1100</v>
      </c>
      <c r="C13" t="s">
        <v>184</v>
      </c>
    </row>
    <row r="14" spans="1:3" x14ac:dyDescent="0.25">
      <c r="A14">
        <v>12</v>
      </c>
      <c r="B14">
        <v>9000</v>
      </c>
      <c r="C14" t="s">
        <v>184</v>
      </c>
    </row>
    <row r="15" spans="1:3" x14ac:dyDescent="0.25">
      <c r="A15">
        <v>13</v>
      </c>
      <c r="B15">
        <v>9100</v>
      </c>
      <c r="C15" t="s">
        <v>184</v>
      </c>
    </row>
    <row r="16" spans="1:3" x14ac:dyDescent="0.25">
      <c r="A16">
        <v>14</v>
      </c>
      <c r="B16">
        <v>9200</v>
      </c>
      <c r="C16" t="s">
        <v>184</v>
      </c>
    </row>
    <row r="17" spans="1:3" x14ac:dyDescent="0.25">
      <c r="A17">
        <v>15</v>
      </c>
      <c r="B17">
        <v>850</v>
      </c>
      <c r="C17" t="s">
        <v>184</v>
      </c>
    </row>
    <row r="18" spans="1:3" x14ac:dyDescent="0.25">
      <c r="A18">
        <v>16</v>
      </c>
      <c r="B18">
        <v>1000</v>
      </c>
      <c r="C18" t="s">
        <v>184</v>
      </c>
    </row>
    <row r="19" spans="1:3" x14ac:dyDescent="0.25">
      <c r="A19">
        <v>17</v>
      </c>
      <c r="B19">
        <v>1200</v>
      </c>
      <c r="C19" t="s">
        <v>184</v>
      </c>
    </row>
    <row r="20" spans="1:3" x14ac:dyDescent="0.25">
      <c r="A20">
        <v>18</v>
      </c>
      <c r="B20">
        <v>1245</v>
      </c>
      <c r="C20" t="s">
        <v>184</v>
      </c>
    </row>
    <row r="21" spans="1:3" x14ac:dyDescent="0.25">
      <c r="A21">
        <v>19</v>
      </c>
      <c r="B21">
        <v>6800</v>
      </c>
      <c r="C21" t="s">
        <v>184</v>
      </c>
    </row>
    <row r="22" spans="1:3" x14ac:dyDescent="0.25">
      <c r="A22">
        <v>20</v>
      </c>
      <c r="B22">
        <v>10000</v>
      </c>
      <c r="C22" t="s">
        <v>184</v>
      </c>
    </row>
    <row r="23" spans="1:3" x14ac:dyDescent="0.25">
      <c r="A23">
        <v>21</v>
      </c>
      <c r="B23">
        <v>11000</v>
      </c>
      <c r="C23" t="s">
        <v>184</v>
      </c>
    </row>
    <row r="24" spans="1:3" x14ac:dyDescent="0.25">
      <c r="A24">
        <v>22</v>
      </c>
      <c r="B24">
        <v>3000</v>
      </c>
      <c r="C24" t="s">
        <v>184</v>
      </c>
    </row>
    <row r="25" spans="1:3" x14ac:dyDescent="0.25">
      <c r="A25">
        <v>23</v>
      </c>
      <c r="B25">
        <v>1100</v>
      </c>
      <c r="C25" t="s">
        <v>184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I8" sqref="I8"/>
    </sheetView>
  </sheetViews>
  <sheetFormatPr defaultRowHeight="15" x14ac:dyDescent="0.25"/>
  <cols>
    <col min="5" max="5" width="13.42578125" customWidth="1"/>
  </cols>
  <sheetData>
    <row r="1" spans="1:8" x14ac:dyDescent="0.25">
      <c r="A1" t="s">
        <v>164</v>
      </c>
      <c r="B1" t="s">
        <v>182</v>
      </c>
      <c r="C1" t="s">
        <v>229</v>
      </c>
      <c r="D1" t="s">
        <v>230</v>
      </c>
      <c r="E1" t="s">
        <v>239</v>
      </c>
      <c r="F1" t="s">
        <v>240</v>
      </c>
      <c r="G1" t="s">
        <v>241</v>
      </c>
      <c r="H1" t="s">
        <v>242</v>
      </c>
    </row>
    <row r="2" spans="1:8" x14ac:dyDescent="0.25">
      <c r="A2">
        <v>1</v>
      </c>
      <c r="B2" t="s">
        <v>184</v>
      </c>
      <c r="C2" t="s">
        <v>233</v>
      </c>
      <c r="D2">
        <v>22</v>
      </c>
      <c r="E2">
        <v>1</v>
      </c>
      <c r="F2">
        <v>0</v>
      </c>
      <c r="G2">
        <v>0</v>
      </c>
      <c r="H2">
        <v>0</v>
      </c>
    </row>
    <row r="3" spans="1:8" x14ac:dyDescent="0.25">
      <c r="A3">
        <v>31</v>
      </c>
      <c r="B3" t="s">
        <v>184</v>
      </c>
      <c r="C3" t="s">
        <v>233</v>
      </c>
      <c r="D3">
        <v>23</v>
      </c>
      <c r="E3">
        <v>1</v>
      </c>
      <c r="F3">
        <v>0</v>
      </c>
      <c r="G3">
        <v>0</v>
      </c>
      <c r="H3">
        <v>0</v>
      </c>
    </row>
    <row r="4" spans="1:8" x14ac:dyDescent="0.25">
      <c r="A4">
        <v>32</v>
      </c>
      <c r="B4" t="s">
        <v>184</v>
      </c>
      <c r="C4" t="s">
        <v>233</v>
      </c>
      <c r="D4">
        <v>22</v>
      </c>
      <c r="E4">
        <v>0</v>
      </c>
      <c r="F4">
        <v>0</v>
      </c>
      <c r="G4">
        <v>0</v>
      </c>
      <c r="H4">
        <v>1</v>
      </c>
    </row>
    <row r="5" spans="1:8" x14ac:dyDescent="0.25">
      <c r="A5">
        <v>33</v>
      </c>
      <c r="B5" t="s">
        <v>184</v>
      </c>
      <c r="C5" t="s">
        <v>233</v>
      </c>
      <c r="D5">
        <v>23</v>
      </c>
      <c r="E5">
        <v>1</v>
      </c>
      <c r="F5">
        <v>0</v>
      </c>
      <c r="G5">
        <v>0</v>
      </c>
      <c r="H5">
        <v>0</v>
      </c>
    </row>
    <row r="6" spans="1:8" x14ac:dyDescent="0.25">
      <c r="A6">
        <v>34</v>
      </c>
      <c r="B6" t="s">
        <v>184</v>
      </c>
      <c r="C6" t="s">
        <v>233</v>
      </c>
      <c r="D6">
        <v>23</v>
      </c>
      <c r="E6">
        <v>1</v>
      </c>
      <c r="F6">
        <v>1</v>
      </c>
      <c r="G6">
        <v>0</v>
      </c>
      <c r="H6">
        <v>1</v>
      </c>
    </row>
    <row r="7" spans="1:8" x14ac:dyDescent="0.25">
      <c r="A7">
        <v>35</v>
      </c>
      <c r="B7" t="s">
        <v>184</v>
      </c>
      <c r="C7" t="s">
        <v>233</v>
      </c>
      <c r="D7">
        <v>23</v>
      </c>
      <c r="E7">
        <v>1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opLeftCell="A4" workbookViewId="0">
      <selection activeCell="D12" sqref="D12"/>
    </sheetView>
  </sheetViews>
  <sheetFormatPr defaultRowHeight="15" x14ac:dyDescent="0.25"/>
  <cols>
    <col min="1" max="1" width="32.28515625" customWidth="1"/>
  </cols>
  <sheetData>
    <row r="1" spans="1:2" x14ac:dyDescent="0.25">
      <c r="A1" t="s">
        <v>243</v>
      </c>
      <c r="B1" t="s">
        <v>244</v>
      </c>
    </row>
    <row r="2" spans="1:2" x14ac:dyDescent="0.25">
      <c r="A2" t="s">
        <v>245</v>
      </c>
      <c r="B2">
        <v>4</v>
      </c>
    </row>
    <row r="3" spans="1:2" x14ac:dyDescent="0.25">
      <c r="A3" t="s">
        <v>246</v>
      </c>
      <c r="B3">
        <v>4</v>
      </c>
    </row>
    <row r="4" spans="1:2" x14ac:dyDescent="0.25">
      <c r="A4" t="s">
        <v>247</v>
      </c>
      <c r="B4">
        <v>2</v>
      </c>
    </row>
    <row r="5" spans="1:2" x14ac:dyDescent="0.25">
      <c r="A5" t="s">
        <v>248</v>
      </c>
      <c r="B5">
        <v>2</v>
      </c>
    </row>
    <row r="6" spans="1:2" x14ac:dyDescent="0.25">
      <c r="A6" t="s">
        <v>249</v>
      </c>
      <c r="B6">
        <v>1</v>
      </c>
    </row>
    <row r="7" spans="1:2" x14ac:dyDescent="0.25">
      <c r="A7" t="s">
        <v>250</v>
      </c>
      <c r="B7">
        <v>1</v>
      </c>
    </row>
    <row r="8" spans="1:2" x14ac:dyDescent="0.25">
      <c r="A8" t="s">
        <v>251</v>
      </c>
      <c r="B8">
        <v>1</v>
      </c>
    </row>
    <row r="9" spans="1:2" x14ac:dyDescent="0.25">
      <c r="A9" t="s">
        <v>252</v>
      </c>
      <c r="B9">
        <v>1</v>
      </c>
    </row>
    <row r="10" spans="1:2" x14ac:dyDescent="0.25">
      <c r="A10" t="s">
        <v>253</v>
      </c>
      <c r="B10">
        <v>4</v>
      </c>
    </row>
    <row r="11" spans="1:2" x14ac:dyDescent="0.25">
      <c r="A11" t="s">
        <v>254</v>
      </c>
      <c r="B11">
        <v>4</v>
      </c>
    </row>
    <row r="12" spans="1:2" x14ac:dyDescent="0.25">
      <c r="A12" t="s">
        <v>255</v>
      </c>
      <c r="B12">
        <v>2</v>
      </c>
    </row>
    <row r="13" spans="1:2" x14ac:dyDescent="0.25">
      <c r="A13" t="s">
        <v>256</v>
      </c>
      <c r="B13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10" sqref="O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ProductsDetail</vt:lpstr>
      <vt:lpstr>Sheet2</vt:lpstr>
      <vt:lpstr>ProductsPurchase</vt:lpstr>
      <vt:lpstr>Weather</vt:lpstr>
      <vt:lpstr>ProductPurchaseOnWeather</vt:lpstr>
      <vt:lpstr>UserSimilarity</vt:lpstr>
      <vt:lpstr>ProductUseLevel</vt:lpstr>
      <vt:lpstr>ProductQuantity</vt:lpstr>
      <vt:lpstr>BuyersShop</vt:lpstr>
      <vt:lpstr>Online</vt:lpstr>
      <vt:lpstr>BuyerShopOnline</vt:lpstr>
      <vt:lpstr>BuyerGenres</vt:lpstr>
      <vt:lpstr>BuyersComment</vt:lpstr>
      <vt:lpstr>SearchKey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2021-11-17T04:14:20Z</dcterms:created>
  <dcterms:modified xsi:type="dcterms:W3CDTF">2021-12-14T07:10:46Z</dcterms:modified>
</cp:coreProperties>
</file>